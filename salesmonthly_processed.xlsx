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.magdum\Desktop\Self\Pharma_Sales_Intelligence_Project\Processed_data\"/>
    </mc:Choice>
  </mc:AlternateContent>
  <xr:revisionPtr revIDLastSave="0" documentId="13_ncr:9_{3D3D8E5A-3B53-4226-966F-3A01F2DB3EBB}" xr6:coauthVersionLast="47" xr6:coauthVersionMax="47" xr10:uidLastSave="{00000000-0000-0000-0000-000000000000}"/>
  <bookViews>
    <workbookView xWindow="-110" yWindow="-110" windowWidth="19420" windowHeight="11500" xr2:uid="{8437C58B-27F4-4AF5-AAB6-0A337303D43F}"/>
  </bookViews>
  <sheets>
    <sheet name="salesmonthly" sheetId="1" r:id="rId1"/>
    <sheet name="fact_sales_monthly" sheetId="2" r:id="rId2"/>
    <sheet name="monthly_financials" sheetId="3" r:id="rId3"/>
    <sheet name="monthly_profit_summary" sheetId="4" r:id="rId4"/>
  </sheets>
  <calcPr calcId="0"/>
</workbook>
</file>

<file path=xl/calcChain.xml><?xml version="1.0" encoding="utf-8"?>
<calcChain xmlns="http://schemas.openxmlformats.org/spreadsheetml/2006/main">
  <c r="B3" i="4" l="1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C2" i="4"/>
  <c r="B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2" i="3"/>
  <c r="D3" i="3"/>
  <c r="E3" i="3" s="1"/>
  <c r="D4" i="3"/>
  <c r="E4" i="3" s="1"/>
  <c r="D5" i="3"/>
  <c r="E5" i="3" s="1"/>
  <c r="D6" i="3"/>
  <c r="E6" i="3"/>
  <c r="F6" i="3"/>
  <c r="D7" i="3"/>
  <c r="F7" i="3" s="1"/>
  <c r="E7" i="3"/>
  <c r="D8" i="3"/>
  <c r="E8" i="3" s="1"/>
  <c r="D9" i="3"/>
  <c r="E9" i="3" s="1"/>
  <c r="F9" i="3"/>
  <c r="D10" i="3"/>
  <c r="F10" i="3" s="1"/>
  <c r="E10" i="3"/>
  <c r="D11" i="3"/>
  <c r="F11" i="3" s="1"/>
  <c r="E11" i="3"/>
  <c r="D12" i="3"/>
  <c r="E12" i="3" s="1"/>
  <c r="D13" i="3"/>
  <c r="F13" i="3" s="1"/>
  <c r="E13" i="3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F20" i="3" s="1"/>
  <c r="E20" i="3"/>
  <c r="D21" i="3"/>
  <c r="F21" i="3" s="1"/>
  <c r="D22" i="3"/>
  <c r="E22" i="3" s="1"/>
  <c r="D23" i="3"/>
  <c r="E23" i="3" s="1"/>
  <c r="D24" i="3"/>
  <c r="E24" i="3" s="1"/>
  <c r="D25" i="3"/>
  <c r="E25" i="3"/>
  <c r="F25" i="3"/>
  <c r="D26" i="3"/>
  <c r="E26" i="3" s="1"/>
  <c r="D27" i="3"/>
  <c r="E27" i="3" s="1"/>
  <c r="D28" i="3"/>
  <c r="F28" i="3" s="1"/>
  <c r="E28" i="3"/>
  <c r="D29" i="3"/>
  <c r="E29" i="3" s="1"/>
  <c r="D30" i="3"/>
  <c r="E30" i="3"/>
  <c r="F30" i="3"/>
  <c r="D31" i="3"/>
  <c r="E31" i="3" s="1"/>
  <c r="D32" i="3"/>
  <c r="E32" i="3" s="1"/>
  <c r="D33" i="3"/>
  <c r="F33" i="3" s="1"/>
  <c r="D34" i="3"/>
  <c r="F34" i="3" s="1"/>
  <c r="E34" i="3"/>
  <c r="D35" i="3"/>
  <c r="F35" i="3" s="1"/>
  <c r="D36" i="3"/>
  <c r="E36" i="3" s="1"/>
  <c r="D37" i="3"/>
  <c r="E37" i="3" s="1"/>
  <c r="D38" i="3"/>
  <c r="E38" i="3" s="1"/>
  <c r="D39" i="3"/>
  <c r="E39" i="3"/>
  <c r="F39" i="3"/>
  <c r="D40" i="3"/>
  <c r="E40" i="3" s="1"/>
  <c r="D41" i="3"/>
  <c r="E41" i="3" s="1"/>
  <c r="D42" i="3"/>
  <c r="F42" i="3" s="1"/>
  <c r="E42" i="3"/>
  <c r="D43" i="3"/>
  <c r="E43" i="3" s="1"/>
  <c r="D44" i="3"/>
  <c r="F44" i="3" s="1"/>
  <c r="E44" i="3"/>
  <c r="D45" i="3"/>
  <c r="E45" i="3" s="1"/>
  <c r="D46" i="3"/>
  <c r="E46" i="3" s="1"/>
  <c r="D47" i="3"/>
  <c r="F47" i="3" s="1"/>
  <c r="D48" i="3"/>
  <c r="F48" i="3" s="1"/>
  <c r="E48" i="3"/>
  <c r="D49" i="3"/>
  <c r="F49" i="3" s="1"/>
  <c r="D50" i="3"/>
  <c r="E50" i="3" s="1"/>
  <c r="D51" i="3"/>
  <c r="E51" i="3" s="1"/>
  <c r="D52" i="3"/>
  <c r="E52" i="3" s="1"/>
  <c r="D53" i="3"/>
  <c r="E53" i="3" s="1"/>
  <c r="D54" i="3"/>
  <c r="E54" i="3" s="1"/>
  <c r="D55" i="3"/>
  <c r="E55" i="3" s="1"/>
  <c r="D56" i="3"/>
  <c r="E56" i="3"/>
  <c r="F56" i="3"/>
  <c r="D57" i="3"/>
  <c r="E57" i="3" s="1"/>
  <c r="F57" i="3"/>
  <c r="D58" i="3"/>
  <c r="E58" i="3" s="1"/>
  <c r="D59" i="3"/>
  <c r="F59" i="3" s="1"/>
  <c r="E59" i="3"/>
  <c r="D60" i="3"/>
  <c r="F60" i="3" s="1"/>
  <c r="E60" i="3"/>
  <c r="D61" i="3"/>
  <c r="F61" i="3" s="1"/>
  <c r="D62" i="3"/>
  <c r="F62" i="3" s="1"/>
  <c r="E62" i="3"/>
  <c r="D63" i="3"/>
  <c r="F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/>
  <c r="F70" i="3"/>
  <c r="D71" i="3"/>
  <c r="E71" i="3" s="1"/>
  <c r="F71" i="3"/>
  <c r="D72" i="3"/>
  <c r="E72" i="3" s="1"/>
  <c r="D73" i="3"/>
  <c r="F73" i="3" s="1"/>
  <c r="E73" i="3"/>
  <c r="D74" i="3"/>
  <c r="F74" i="3" s="1"/>
  <c r="E74" i="3"/>
  <c r="D75" i="3"/>
  <c r="F75" i="3" s="1"/>
  <c r="D76" i="3"/>
  <c r="F76" i="3" s="1"/>
  <c r="E76" i="3"/>
  <c r="D77" i="3"/>
  <c r="F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/>
  <c r="F84" i="3"/>
  <c r="D85" i="3"/>
  <c r="E85" i="3" s="1"/>
  <c r="F85" i="3"/>
  <c r="D86" i="3"/>
  <c r="E86" i="3" s="1"/>
  <c r="D87" i="3"/>
  <c r="F87" i="3" s="1"/>
  <c r="E87" i="3"/>
  <c r="D88" i="3"/>
  <c r="F88" i="3" s="1"/>
  <c r="E88" i="3"/>
  <c r="D89" i="3"/>
  <c r="F89" i="3" s="1"/>
  <c r="D90" i="3"/>
  <c r="F90" i="3" s="1"/>
  <c r="E90" i="3"/>
  <c r="D91" i="3"/>
  <c r="F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E97" i="3" s="1"/>
  <c r="D98" i="3"/>
  <c r="E98" i="3"/>
  <c r="F98" i="3"/>
  <c r="D99" i="3"/>
  <c r="E99" i="3" s="1"/>
  <c r="F99" i="3"/>
  <c r="D100" i="3"/>
  <c r="E100" i="3" s="1"/>
  <c r="D101" i="3"/>
  <c r="F101" i="3" s="1"/>
  <c r="E101" i="3"/>
  <c r="D102" i="3"/>
  <c r="F102" i="3" s="1"/>
  <c r="E102" i="3"/>
  <c r="D103" i="3"/>
  <c r="F103" i="3" s="1"/>
  <c r="D104" i="3"/>
  <c r="F104" i="3" s="1"/>
  <c r="E104" i="3"/>
  <c r="D105" i="3"/>
  <c r="F105" i="3" s="1"/>
  <c r="D106" i="3"/>
  <c r="E106" i="3" s="1"/>
  <c r="D107" i="3"/>
  <c r="E107" i="3" s="1"/>
  <c r="D108" i="3"/>
  <c r="E108" i="3" s="1"/>
  <c r="D109" i="3"/>
  <c r="E109" i="3" s="1"/>
  <c r="D110" i="3"/>
  <c r="E110" i="3" s="1"/>
  <c r="D111" i="3"/>
  <c r="E111" i="3" s="1"/>
  <c r="D112" i="3"/>
  <c r="E112" i="3"/>
  <c r="F112" i="3"/>
  <c r="D113" i="3"/>
  <c r="E113" i="3" s="1"/>
  <c r="F113" i="3"/>
  <c r="D114" i="3"/>
  <c r="E114" i="3" s="1"/>
  <c r="D115" i="3"/>
  <c r="F115" i="3" s="1"/>
  <c r="E115" i="3"/>
  <c r="D116" i="3"/>
  <c r="F116" i="3" s="1"/>
  <c r="E116" i="3"/>
  <c r="D117" i="3"/>
  <c r="F117" i="3" s="1"/>
  <c r="D118" i="3"/>
  <c r="F118" i="3" s="1"/>
  <c r="E118" i="3"/>
  <c r="D119" i="3"/>
  <c r="F119" i="3" s="1"/>
  <c r="D120" i="3"/>
  <c r="E120" i="3" s="1"/>
  <c r="D121" i="3"/>
  <c r="E121" i="3" s="1"/>
  <c r="D122" i="3"/>
  <c r="E122" i="3" s="1"/>
  <c r="D123" i="3"/>
  <c r="E123" i="3" s="1"/>
  <c r="D124" i="3"/>
  <c r="E124" i="3" s="1"/>
  <c r="D125" i="3"/>
  <c r="E125" i="3" s="1"/>
  <c r="D126" i="3"/>
  <c r="E126" i="3"/>
  <c r="F126" i="3"/>
  <c r="D127" i="3"/>
  <c r="E127" i="3" s="1"/>
  <c r="F127" i="3"/>
  <c r="D128" i="3"/>
  <c r="E128" i="3" s="1"/>
  <c r="D129" i="3"/>
  <c r="F129" i="3" s="1"/>
  <c r="E129" i="3"/>
  <c r="D130" i="3"/>
  <c r="F130" i="3" s="1"/>
  <c r="E130" i="3"/>
  <c r="D131" i="3"/>
  <c r="F131" i="3" s="1"/>
  <c r="D132" i="3"/>
  <c r="F132" i="3" s="1"/>
  <c r="E132" i="3"/>
  <c r="D133" i="3"/>
  <c r="F133" i="3" s="1"/>
  <c r="D134" i="3"/>
  <c r="E134" i="3" s="1"/>
  <c r="D135" i="3"/>
  <c r="E135" i="3" s="1"/>
  <c r="D136" i="3"/>
  <c r="E136" i="3" s="1"/>
  <c r="D137" i="3"/>
  <c r="E137" i="3" s="1"/>
  <c r="D138" i="3"/>
  <c r="E138" i="3" s="1"/>
  <c r="D139" i="3"/>
  <c r="E139" i="3" s="1"/>
  <c r="D140" i="3"/>
  <c r="E140" i="3"/>
  <c r="F140" i="3"/>
  <c r="D141" i="3"/>
  <c r="E141" i="3" s="1"/>
  <c r="F141" i="3"/>
  <c r="D142" i="3"/>
  <c r="E142" i="3" s="1"/>
  <c r="D143" i="3"/>
  <c r="F143" i="3" s="1"/>
  <c r="E143" i="3"/>
  <c r="D144" i="3"/>
  <c r="F144" i="3" s="1"/>
  <c r="E144" i="3"/>
  <c r="D145" i="3"/>
  <c r="F145" i="3" s="1"/>
  <c r="D146" i="3"/>
  <c r="F146" i="3" s="1"/>
  <c r="E146" i="3"/>
  <c r="D147" i="3"/>
  <c r="F147" i="3" s="1"/>
  <c r="D148" i="3"/>
  <c r="E148" i="3" s="1"/>
  <c r="D149" i="3"/>
  <c r="E149" i="3" s="1"/>
  <c r="D150" i="3"/>
  <c r="E150" i="3" s="1"/>
  <c r="D151" i="3"/>
  <c r="E151" i="3" s="1"/>
  <c r="D152" i="3"/>
  <c r="E152" i="3" s="1"/>
  <c r="D153" i="3"/>
  <c r="E153" i="3" s="1"/>
  <c r="D154" i="3"/>
  <c r="E154" i="3"/>
  <c r="F154" i="3"/>
  <c r="D155" i="3"/>
  <c r="E155" i="3" s="1"/>
  <c r="F155" i="3"/>
  <c r="D156" i="3"/>
  <c r="E156" i="3" s="1"/>
  <c r="D157" i="3"/>
  <c r="F157" i="3" s="1"/>
  <c r="E157" i="3"/>
  <c r="D158" i="3"/>
  <c r="E158" i="3"/>
  <c r="F158" i="3"/>
  <c r="D159" i="3"/>
  <c r="F159" i="3" s="1"/>
  <c r="E159" i="3"/>
  <c r="D160" i="3"/>
  <c r="E160" i="3" s="1"/>
  <c r="F160" i="3"/>
  <c r="D161" i="3"/>
  <c r="F161" i="3" s="1"/>
  <c r="D162" i="3"/>
  <c r="E162" i="3" s="1"/>
  <c r="D163" i="3"/>
  <c r="E163" i="3" s="1"/>
  <c r="D164" i="3"/>
  <c r="E164" i="3" s="1"/>
  <c r="D165" i="3"/>
  <c r="E165" i="3"/>
  <c r="F165" i="3"/>
  <c r="D166" i="3"/>
  <c r="E166" i="3" s="1"/>
  <c r="D167" i="3"/>
  <c r="E167" i="3" s="1"/>
  <c r="D168" i="3"/>
  <c r="F168" i="3" s="1"/>
  <c r="E168" i="3"/>
  <c r="D169" i="3"/>
  <c r="E169" i="3" s="1"/>
  <c r="D170" i="3"/>
  <c r="E170" i="3"/>
  <c r="F170" i="3"/>
  <c r="D171" i="3"/>
  <c r="E171" i="3" s="1"/>
  <c r="D172" i="3"/>
  <c r="E172" i="3"/>
  <c r="F172" i="3"/>
  <c r="D173" i="3"/>
  <c r="F173" i="3" s="1"/>
  <c r="E173" i="3"/>
  <c r="D174" i="3"/>
  <c r="E174" i="3"/>
  <c r="F174" i="3"/>
  <c r="D175" i="3"/>
  <c r="F175" i="3" s="1"/>
  <c r="E175" i="3"/>
  <c r="D176" i="3"/>
  <c r="E176" i="3" s="1"/>
  <c r="D177" i="3"/>
  <c r="E177" i="3" s="1"/>
  <c r="D178" i="3"/>
  <c r="E178" i="3" s="1"/>
  <c r="D179" i="3"/>
  <c r="E179" i="3"/>
  <c r="F179" i="3"/>
  <c r="D180" i="3"/>
  <c r="E180" i="3" s="1"/>
  <c r="D181" i="3"/>
  <c r="E181" i="3" s="1"/>
  <c r="D182" i="3"/>
  <c r="E182" i="3" s="1"/>
  <c r="F182" i="3"/>
  <c r="D183" i="3"/>
  <c r="E183" i="3" s="1"/>
  <c r="D184" i="3"/>
  <c r="E184" i="3"/>
  <c r="F184" i="3"/>
  <c r="D185" i="3"/>
  <c r="E185" i="3"/>
  <c r="F185" i="3"/>
  <c r="D186" i="3"/>
  <c r="E186" i="3" s="1"/>
  <c r="F186" i="3"/>
  <c r="D187" i="3"/>
  <c r="F187" i="3" s="1"/>
  <c r="D188" i="3"/>
  <c r="E188" i="3" s="1"/>
  <c r="D189" i="3"/>
  <c r="F189" i="3" s="1"/>
  <c r="E189" i="3"/>
  <c r="D190" i="3"/>
  <c r="E190" i="3" s="1"/>
  <c r="D191" i="3"/>
  <c r="E191" i="3" s="1"/>
  <c r="D192" i="3"/>
  <c r="E192" i="3" s="1"/>
  <c r="D193" i="3"/>
  <c r="E193" i="3"/>
  <c r="F193" i="3"/>
  <c r="D194" i="3"/>
  <c r="E194" i="3" s="1"/>
  <c r="D195" i="3"/>
  <c r="E195" i="3" s="1"/>
  <c r="D196" i="3"/>
  <c r="E196" i="3"/>
  <c r="F196" i="3"/>
  <c r="D197" i="3"/>
  <c r="E197" i="3" s="1"/>
  <c r="F197" i="3"/>
  <c r="D198" i="3"/>
  <c r="F198" i="3" s="1"/>
  <c r="E198" i="3"/>
  <c r="D199" i="3"/>
  <c r="E199" i="3"/>
  <c r="F199" i="3"/>
  <c r="D200" i="3"/>
  <c r="E200" i="3"/>
  <c r="F200" i="3"/>
  <c r="D201" i="3"/>
  <c r="F201" i="3" s="1"/>
  <c r="E201" i="3"/>
  <c r="D202" i="3"/>
  <c r="E202" i="3" s="1"/>
  <c r="D203" i="3"/>
  <c r="F203" i="3" s="1"/>
  <c r="E203" i="3"/>
  <c r="D204" i="3"/>
  <c r="E204" i="3" s="1"/>
  <c r="D205" i="3"/>
  <c r="E205" i="3" s="1"/>
  <c r="D206" i="3"/>
  <c r="E206" i="3" s="1"/>
  <c r="D207" i="3"/>
  <c r="E207" i="3" s="1"/>
  <c r="F207" i="3"/>
  <c r="D208" i="3"/>
  <c r="E208" i="3" s="1"/>
  <c r="D209" i="3"/>
  <c r="E209" i="3" s="1"/>
  <c r="D210" i="3"/>
  <c r="E210" i="3" s="1"/>
  <c r="D211" i="3"/>
  <c r="E211" i="3" s="1"/>
  <c r="F211" i="3"/>
  <c r="D212" i="3"/>
  <c r="E212" i="3" s="1"/>
  <c r="D213" i="3"/>
  <c r="E213" i="3"/>
  <c r="F213" i="3"/>
  <c r="D214" i="3"/>
  <c r="F214" i="3" s="1"/>
  <c r="E214" i="3"/>
  <c r="D215" i="3"/>
  <c r="F215" i="3" s="1"/>
  <c r="D216" i="3"/>
  <c r="E216" i="3"/>
  <c r="F216" i="3"/>
  <c r="D217" i="3"/>
  <c r="F217" i="3" s="1"/>
  <c r="D218" i="3"/>
  <c r="E218" i="3" s="1"/>
  <c r="D219" i="3"/>
  <c r="E219" i="3" s="1"/>
  <c r="D220" i="3"/>
  <c r="E220" i="3" s="1"/>
  <c r="D221" i="3"/>
  <c r="E221" i="3"/>
  <c r="F221" i="3"/>
  <c r="D222" i="3"/>
  <c r="E222" i="3" s="1"/>
  <c r="D223" i="3"/>
  <c r="E223" i="3" s="1"/>
  <c r="D224" i="3"/>
  <c r="E224" i="3" s="1"/>
  <c r="D225" i="3"/>
  <c r="E225" i="3" s="1"/>
  <c r="F225" i="3"/>
  <c r="D226" i="3"/>
  <c r="E226" i="3"/>
  <c r="F226" i="3"/>
  <c r="D227" i="3"/>
  <c r="E227" i="3" s="1"/>
  <c r="F227" i="3"/>
  <c r="D228" i="3"/>
  <c r="E228" i="3" s="1"/>
  <c r="F228" i="3"/>
  <c r="D229" i="3"/>
  <c r="F229" i="3" s="1"/>
  <c r="D230" i="3"/>
  <c r="E230" i="3"/>
  <c r="F230" i="3"/>
  <c r="D231" i="3"/>
  <c r="F231" i="3" s="1"/>
  <c r="E231" i="3"/>
  <c r="D232" i="3"/>
  <c r="E232" i="3" s="1"/>
  <c r="D233" i="3"/>
  <c r="E233" i="3" s="1"/>
  <c r="D234" i="3"/>
  <c r="E234" i="3" s="1"/>
  <c r="D235" i="3"/>
  <c r="F235" i="3" s="1"/>
  <c r="E235" i="3"/>
  <c r="D236" i="3"/>
  <c r="E236" i="3" s="1"/>
  <c r="D237" i="3"/>
  <c r="E237" i="3" s="1"/>
  <c r="D238" i="3"/>
  <c r="E238" i="3"/>
  <c r="F238" i="3"/>
  <c r="D239" i="3"/>
  <c r="E239" i="3" s="1"/>
  <c r="D240" i="3"/>
  <c r="E240" i="3" s="1"/>
  <c r="F240" i="3"/>
  <c r="D241" i="3"/>
  <c r="E241" i="3"/>
  <c r="F241" i="3"/>
  <c r="D242" i="3"/>
  <c r="E242" i="3"/>
  <c r="F242" i="3"/>
  <c r="D243" i="3"/>
  <c r="F243" i="3" s="1"/>
  <c r="E243" i="3"/>
  <c r="D244" i="3"/>
  <c r="F244" i="3" s="1"/>
  <c r="E244" i="3"/>
  <c r="D245" i="3"/>
  <c r="F245" i="3" s="1"/>
  <c r="D246" i="3"/>
  <c r="E246" i="3" s="1"/>
  <c r="D247" i="3"/>
  <c r="E247" i="3" s="1"/>
  <c r="F247" i="3"/>
  <c r="D248" i="3"/>
  <c r="E248" i="3" s="1"/>
  <c r="D249" i="3"/>
  <c r="E249" i="3"/>
  <c r="F249" i="3"/>
  <c r="D250" i="3"/>
  <c r="E250" i="3" s="1"/>
  <c r="D251" i="3"/>
  <c r="E251" i="3" s="1"/>
  <c r="D252" i="3"/>
  <c r="F252" i="3" s="1"/>
  <c r="E252" i="3"/>
  <c r="D253" i="3"/>
  <c r="E253" i="3" s="1"/>
  <c r="D254" i="3"/>
  <c r="E254" i="3" s="1"/>
  <c r="F254" i="3"/>
  <c r="D255" i="3"/>
  <c r="E255" i="3" s="1"/>
  <c r="F255" i="3"/>
  <c r="D256" i="3"/>
  <c r="E256" i="3" s="1"/>
  <c r="D257" i="3"/>
  <c r="F257" i="3" s="1"/>
  <c r="E257" i="3"/>
  <c r="D258" i="3"/>
  <c r="E258" i="3"/>
  <c r="F258" i="3"/>
  <c r="D259" i="3"/>
  <c r="F259" i="3" s="1"/>
  <c r="D260" i="3"/>
  <c r="E260" i="3" s="1"/>
  <c r="D261" i="3"/>
  <c r="E261" i="3" s="1"/>
  <c r="D262" i="3"/>
  <c r="E262" i="3" s="1"/>
  <c r="D263" i="3"/>
  <c r="E263" i="3" s="1"/>
  <c r="D264" i="3"/>
  <c r="E264" i="3" s="1"/>
  <c r="D265" i="3"/>
  <c r="E265" i="3" s="1"/>
  <c r="D266" i="3"/>
  <c r="E266" i="3"/>
  <c r="F266" i="3"/>
  <c r="D267" i="3"/>
  <c r="E267" i="3" s="1"/>
  <c r="D268" i="3"/>
  <c r="F268" i="3" s="1"/>
  <c r="E268" i="3"/>
  <c r="D269" i="3"/>
  <c r="E269" i="3" s="1"/>
  <c r="D270" i="3"/>
  <c r="E270" i="3"/>
  <c r="F270" i="3"/>
  <c r="D271" i="3"/>
  <c r="F271" i="3" s="1"/>
  <c r="E271" i="3"/>
  <c r="D272" i="3"/>
  <c r="E272" i="3"/>
  <c r="F272" i="3"/>
  <c r="D273" i="3"/>
  <c r="F273" i="3" s="1"/>
  <c r="E273" i="3"/>
  <c r="D274" i="3"/>
  <c r="E274" i="3" s="1"/>
  <c r="D275" i="3"/>
  <c r="E275" i="3" s="1"/>
  <c r="D276" i="3"/>
  <c r="E276" i="3" s="1"/>
  <c r="D277" i="3"/>
  <c r="E277" i="3"/>
  <c r="F277" i="3"/>
  <c r="D278" i="3"/>
  <c r="E278" i="3" s="1"/>
  <c r="D279" i="3"/>
  <c r="E279" i="3" s="1"/>
  <c r="D280" i="3"/>
  <c r="E280" i="3"/>
  <c r="F280" i="3"/>
  <c r="D281" i="3"/>
  <c r="E281" i="3" s="1"/>
  <c r="F281" i="3"/>
  <c r="D282" i="3"/>
  <c r="E282" i="3"/>
  <c r="F282" i="3"/>
  <c r="D283" i="3"/>
  <c r="E283" i="3"/>
  <c r="F283" i="3"/>
  <c r="D284" i="3"/>
  <c r="E284" i="3" s="1"/>
  <c r="D285" i="3"/>
  <c r="F285" i="3" s="1"/>
  <c r="E285" i="3"/>
  <c r="D286" i="3"/>
  <c r="E286" i="3"/>
  <c r="F286" i="3"/>
  <c r="D287" i="3"/>
  <c r="F287" i="3" s="1"/>
  <c r="E287" i="3"/>
  <c r="D288" i="3"/>
  <c r="E288" i="3" s="1"/>
  <c r="D289" i="3"/>
  <c r="E289" i="3" s="1"/>
  <c r="D290" i="3"/>
  <c r="E290" i="3" s="1"/>
  <c r="D291" i="3"/>
  <c r="F291" i="3" s="1"/>
  <c r="E291" i="3"/>
  <c r="D292" i="3"/>
  <c r="E292" i="3" s="1"/>
  <c r="D293" i="3"/>
  <c r="E293" i="3" s="1"/>
  <c r="D294" i="3"/>
  <c r="E294" i="3" s="1"/>
  <c r="F294" i="3"/>
  <c r="D295" i="3"/>
  <c r="E295" i="3" s="1"/>
  <c r="D296" i="3"/>
  <c r="E296" i="3" s="1"/>
  <c r="D297" i="3"/>
  <c r="E297" i="3"/>
  <c r="F297" i="3"/>
  <c r="D298" i="3"/>
  <c r="E298" i="3"/>
  <c r="F298" i="3"/>
  <c r="D299" i="3"/>
  <c r="F299" i="3" s="1"/>
  <c r="D300" i="3"/>
  <c r="F300" i="3" s="1"/>
  <c r="E300" i="3"/>
  <c r="D301" i="3"/>
  <c r="F301" i="3" s="1"/>
  <c r="D302" i="3"/>
  <c r="E302" i="3" s="1"/>
  <c r="D303" i="3"/>
  <c r="E303" i="3" s="1"/>
  <c r="D304" i="3"/>
  <c r="E304" i="3" s="1"/>
  <c r="D305" i="3"/>
  <c r="E305" i="3" s="1"/>
  <c r="D306" i="3"/>
  <c r="E306" i="3" s="1"/>
  <c r="D307" i="3"/>
  <c r="E307" i="3" s="1"/>
  <c r="D308" i="3"/>
  <c r="E308" i="3"/>
  <c r="F308" i="3"/>
  <c r="D309" i="3"/>
  <c r="E309" i="3" s="1"/>
  <c r="F309" i="3"/>
  <c r="D310" i="3"/>
  <c r="E310" i="3" s="1"/>
  <c r="F310" i="3"/>
  <c r="D311" i="3"/>
  <c r="F311" i="3" s="1"/>
  <c r="E311" i="3"/>
  <c r="D312" i="3"/>
  <c r="E312" i="3" s="1"/>
  <c r="F312" i="3"/>
  <c r="D313" i="3"/>
  <c r="F313" i="3" s="1"/>
  <c r="E313" i="3"/>
  <c r="D314" i="3"/>
  <c r="E314" i="3" s="1"/>
  <c r="F314" i="3"/>
  <c r="D315" i="3"/>
  <c r="F315" i="3" s="1"/>
  <c r="D316" i="3"/>
  <c r="E316" i="3" s="1"/>
  <c r="D317" i="3"/>
  <c r="E317" i="3" s="1"/>
  <c r="D318" i="3"/>
  <c r="E318" i="3" s="1"/>
  <c r="D319" i="3"/>
  <c r="E319" i="3"/>
  <c r="F319" i="3"/>
  <c r="D320" i="3"/>
  <c r="E320" i="3" s="1"/>
  <c r="D321" i="3"/>
  <c r="E321" i="3" s="1"/>
  <c r="D322" i="3"/>
  <c r="F322" i="3" s="1"/>
  <c r="E322" i="3"/>
  <c r="D323" i="3"/>
  <c r="E323" i="3" s="1"/>
  <c r="D324" i="3"/>
  <c r="E324" i="3"/>
  <c r="F324" i="3"/>
  <c r="D325" i="3"/>
  <c r="E325" i="3" s="1"/>
  <c r="D326" i="3"/>
  <c r="E326" i="3"/>
  <c r="F326" i="3"/>
  <c r="D327" i="3"/>
  <c r="F327" i="3" s="1"/>
  <c r="E327" i="3"/>
  <c r="D328" i="3"/>
  <c r="E328" i="3"/>
  <c r="F328" i="3"/>
  <c r="D329" i="3"/>
  <c r="F329" i="3" s="1"/>
  <c r="D330" i="3"/>
  <c r="E330" i="3" s="1"/>
  <c r="D331" i="3"/>
  <c r="E331" i="3" s="1"/>
  <c r="D332" i="3"/>
  <c r="E332" i="3" s="1"/>
  <c r="D333" i="3"/>
  <c r="E333" i="3" s="1"/>
  <c r="F333" i="3"/>
  <c r="D334" i="3"/>
  <c r="E334" i="3" s="1"/>
  <c r="D335" i="3"/>
  <c r="E335" i="3" s="1"/>
  <c r="D336" i="3"/>
  <c r="E336" i="3" s="1"/>
  <c r="F336" i="3"/>
  <c r="D337" i="3"/>
  <c r="E337" i="3" s="1"/>
  <c r="D338" i="3"/>
  <c r="E338" i="3"/>
  <c r="F338" i="3"/>
  <c r="D339" i="3"/>
  <c r="E339" i="3"/>
  <c r="F339" i="3"/>
  <c r="D340" i="3"/>
  <c r="E340" i="3" s="1"/>
  <c r="F340" i="3"/>
  <c r="D341" i="3"/>
  <c r="F341" i="3" s="1"/>
  <c r="D342" i="3"/>
  <c r="E342" i="3" s="1"/>
  <c r="D343" i="3"/>
  <c r="F343" i="3" s="1"/>
  <c r="E343" i="3"/>
  <c r="D344" i="3"/>
  <c r="E344" i="3" s="1"/>
  <c r="D345" i="3"/>
  <c r="E345" i="3" s="1"/>
  <c r="D346" i="3"/>
  <c r="E346" i="3" s="1"/>
  <c r="D347" i="3"/>
  <c r="E347" i="3"/>
  <c r="F347" i="3"/>
  <c r="D348" i="3"/>
  <c r="E348" i="3" s="1"/>
  <c r="D349" i="3"/>
  <c r="E349" i="3" s="1"/>
  <c r="D350" i="3"/>
  <c r="E350" i="3"/>
  <c r="F350" i="3"/>
  <c r="D351" i="3"/>
  <c r="E351" i="3" s="1"/>
  <c r="F351" i="3"/>
  <c r="D352" i="3"/>
  <c r="F352" i="3" s="1"/>
  <c r="E352" i="3"/>
  <c r="D353" i="3"/>
  <c r="E353" i="3" s="1"/>
  <c r="F353" i="3"/>
  <c r="D354" i="3"/>
  <c r="E354" i="3"/>
  <c r="F354" i="3"/>
  <c r="D355" i="3"/>
  <c r="F355" i="3" s="1"/>
  <c r="E355" i="3"/>
  <c r="D356" i="3"/>
  <c r="E356" i="3" s="1"/>
  <c r="F356" i="3"/>
  <c r="D357" i="3"/>
  <c r="F357" i="3" s="1"/>
  <c r="E357" i="3"/>
  <c r="D358" i="3"/>
  <c r="E358" i="3" s="1"/>
  <c r="D359" i="3"/>
  <c r="E359" i="3" s="1"/>
  <c r="D360" i="3"/>
  <c r="E360" i="3" s="1"/>
  <c r="D361" i="3"/>
  <c r="E361" i="3" s="1"/>
  <c r="F361" i="3"/>
  <c r="D362" i="3"/>
  <c r="E362" i="3" s="1"/>
  <c r="D363" i="3"/>
  <c r="E363" i="3" s="1"/>
  <c r="D364" i="3"/>
  <c r="E364" i="3" s="1"/>
  <c r="D365" i="3"/>
  <c r="E365" i="3" s="1"/>
  <c r="F365" i="3"/>
  <c r="D366" i="3"/>
  <c r="E366" i="3" s="1"/>
  <c r="D367" i="3"/>
  <c r="E367" i="3"/>
  <c r="F367" i="3"/>
  <c r="D368" i="3"/>
  <c r="F368" i="3" s="1"/>
  <c r="E368" i="3"/>
  <c r="D369" i="3"/>
  <c r="F369" i="3" s="1"/>
  <c r="D370" i="3"/>
  <c r="E370" i="3"/>
  <c r="F370" i="3"/>
  <c r="D371" i="3"/>
  <c r="F371" i="3" s="1"/>
  <c r="D372" i="3"/>
  <c r="E372" i="3" s="1"/>
  <c r="D373" i="3"/>
  <c r="E373" i="3" s="1"/>
  <c r="D374" i="3"/>
  <c r="E374" i="3" s="1"/>
  <c r="D375" i="3"/>
  <c r="E375" i="3"/>
  <c r="F375" i="3"/>
  <c r="D376" i="3"/>
  <c r="E376" i="3" s="1"/>
  <c r="D377" i="3"/>
  <c r="E377" i="3" s="1"/>
  <c r="D378" i="3"/>
  <c r="E378" i="3" s="1"/>
  <c r="F378" i="3"/>
  <c r="D379" i="3"/>
  <c r="E379" i="3" s="1"/>
  <c r="F379" i="3"/>
  <c r="D380" i="3"/>
  <c r="E380" i="3"/>
  <c r="F380" i="3"/>
  <c r="D381" i="3"/>
  <c r="E381" i="3" s="1"/>
  <c r="F381" i="3"/>
  <c r="D382" i="3"/>
  <c r="E382" i="3" s="1"/>
  <c r="F382" i="3"/>
  <c r="D383" i="3"/>
  <c r="F383" i="3" s="1"/>
  <c r="D384" i="3"/>
  <c r="E384" i="3"/>
  <c r="F384" i="3"/>
  <c r="D385" i="3"/>
  <c r="F385" i="3" s="1"/>
  <c r="E385" i="3"/>
  <c r="D386" i="3"/>
  <c r="E386" i="3" s="1"/>
  <c r="D387" i="3"/>
  <c r="E387" i="3" s="1"/>
  <c r="D388" i="3"/>
  <c r="E388" i="3" s="1"/>
  <c r="D389" i="3"/>
  <c r="F389" i="3" s="1"/>
  <c r="E389" i="3"/>
  <c r="D390" i="3"/>
  <c r="E390" i="3" s="1"/>
  <c r="D391" i="3"/>
  <c r="E391" i="3" s="1"/>
  <c r="D392" i="3"/>
  <c r="E392" i="3"/>
  <c r="F392" i="3"/>
  <c r="D393" i="3"/>
  <c r="E393" i="3" s="1"/>
  <c r="D394" i="3"/>
  <c r="E394" i="3" s="1"/>
  <c r="F394" i="3"/>
  <c r="D395" i="3"/>
  <c r="E395" i="3"/>
  <c r="F395" i="3"/>
  <c r="D396" i="3"/>
  <c r="E396" i="3"/>
  <c r="F396" i="3"/>
  <c r="D397" i="3"/>
  <c r="F397" i="3" s="1"/>
  <c r="D398" i="3"/>
  <c r="F398" i="3" s="1"/>
  <c r="E398" i="3"/>
  <c r="D399" i="3"/>
  <c r="F399" i="3" s="1"/>
  <c r="D400" i="3"/>
  <c r="E400" i="3" s="1"/>
  <c r="D401" i="3"/>
  <c r="E401" i="3" s="1"/>
  <c r="D402" i="3"/>
  <c r="E402" i="3" s="1"/>
  <c r="D403" i="3"/>
  <c r="E403" i="3" s="1"/>
  <c r="F403" i="3"/>
  <c r="D404" i="3"/>
  <c r="E404" i="3" s="1"/>
  <c r="D405" i="3"/>
  <c r="E405" i="3" s="1"/>
  <c r="D406" i="3"/>
  <c r="E406" i="3"/>
  <c r="F406" i="3"/>
  <c r="D407" i="3"/>
  <c r="E407" i="3" s="1"/>
  <c r="F407" i="3"/>
  <c r="D408" i="3"/>
  <c r="E408" i="3"/>
  <c r="F408" i="3"/>
  <c r="D409" i="3"/>
  <c r="F409" i="3" s="1"/>
  <c r="E409" i="3"/>
  <c r="D410" i="3"/>
  <c r="E410" i="3" s="1"/>
  <c r="D411" i="3"/>
  <c r="F411" i="3" s="1"/>
  <c r="E411" i="3"/>
  <c r="D412" i="3"/>
  <c r="E412" i="3" s="1"/>
  <c r="D413" i="3"/>
  <c r="F413" i="3" s="1"/>
  <c r="E413" i="3"/>
  <c r="D414" i="3"/>
  <c r="E414" i="3" s="1"/>
  <c r="D415" i="3"/>
  <c r="E415" i="3" s="1"/>
  <c r="D416" i="3"/>
  <c r="E416" i="3" s="1"/>
  <c r="D417" i="3"/>
  <c r="E417" i="3"/>
  <c r="F417" i="3"/>
  <c r="D418" i="3"/>
  <c r="E418" i="3" s="1"/>
  <c r="D419" i="3"/>
  <c r="E419" i="3" s="1"/>
  <c r="D420" i="3"/>
  <c r="F420" i="3" s="1"/>
  <c r="E420" i="3"/>
  <c r="D421" i="3"/>
  <c r="E421" i="3" s="1"/>
  <c r="D422" i="3"/>
  <c r="E422" i="3" s="1"/>
  <c r="F422" i="3"/>
  <c r="D423" i="3"/>
  <c r="E423" i="3" s="1"/>
  <c r="F423" i="3"/>
  <c r="D424" i="3"/>
  <c r="E424" i="3" s="1"/>
  <c r="F424" i="3"/>
  <c r="D425" i="3"/>
  <c r="F425" i="3" s="1"/>
  <c r="E425" i="3"/>
  <c r="D426" i="3"/>
  <c r="E426" i="3"/>
  <c r="F426" i="3"/>
  <c r="D427" i="3"/>
  <c r="F427" i="3" s="1"/>
  <c r="D428" i="3"/>
  <c r="E428" i="3" s="1"/>
  <c r="D429" i="3"/>
  <c r="E429" i="3" s="1"/>
  <c r="D430" i="3"/>
  <c r="E430" i="3" s="1"/>
  <c r="D431" i="3"/>
  <c r="E431" i="3" s="1"/>
  <c r="D432" i="3"/>
  <c r="E432" i="3" s="1"/>
  <c r="D433" i="3"/>
  <c r="E433" i="3" s="1"/>
  <c r="D434" i="3"/>
  <c r="E434" i="3" s="1"/>
  <c r="D435" i="3"/>
  <c r="E435" i="3" s="1"/>
  <c r="F435" i="3"/>
  <c r="D436" i="3"/>
  <c r="E436" i="3"/>
  <c r="F436" i="3"/>
  <c r="D437" i="3"/>
  <c r="E437" i="3"/>
  <c r="F437" i="3"/>
  <c r="D438" i="3"/>
  <c r="E438" i="3"/>
  <c r="F438" i="3"/>
  <c r="D439" i="3"/>
  <c r="F439" i="3" s="1"/>
  <c r="D440" i="3"/>
  <c r="E440" i="3" s="1"/>
  <c r="F440" i="3"/>
  <c r="D441" i="3"/>
  <c r="F441" i="3" s="1"/>
  <c r="E441" i="3"/>
  <c r="D442" i="3"/>
  <c r="E442" i="3" s="1"/>
  <c r="D443" i="3"/>
  <c r="E443" i="3" s="1"/>
  <c r="D444" i="3"/>
  <c r="E444" i="3" s="1"/>
  <c r="D445" i="3"/>
  <c r="E445" i="3" s="1"/>
  <c r="F445" i="3"/>
  <c r="D446" i="3"/>
  <c r="E446" i="3" s="1"/>
  <c r="D447" i="3"/>
  <c r="E447" i="3" s="1"/>
  <c r="D448" i="3"/>
  <c r="E448" i="3"/>
  <c r="F448" i="3"/>
  <c r="D449" i="3"/>
  <c r="E449" i="3" s="1"/>
  <c r="D450" i="3"/>
  <c r="F450" i="3" s="1"/>
  <c r="E450" i="3"/>
  <c r="D451" i="3"/>
  <c r="E451" i="3" s="1"/>
  <c r="D452" i="3"/>
  <c r="E452" i="3"/>
  <c r="F452" i="3"/>
  <c r="D453" i="3"/>
  <c r="F453" i="3" s="1"/>
  <c r="E453" i="3"/>
  <c r="D454" i="3"/>
  <c r="E454" i="3"/>
  <c r="F454" i="3"/>
  <c r="D455" i="3"/>
  <c r="F455" i="3" s="1"/>
  <c r="E455" i="3"/>
  <c r="D456" i="3"/>
  <c r="E456" i="3" s="1"/>
  <c r="D457" i="3"/>
  <c r="E457" i="3" s="1"/>
  <c r="D458" i="3"/>
  <c r="E458" i="3" s="1"/>
  <c r="D459" i="3"/>
  <c r="E459" i="3"/>
  <c r="F459" i="3"/>
  <c r="D460" i="3"/>
  <c r="E460" i="3" s="1"/>
  <c r="D461" i="3"/>
  <c r="E461" i="3" s="1"/>
  <c r="D462" i="3"/>
  <c r="E462" i="3" s="1"/>
  <c r="F462" i="3"/>
  <c r="D463" i="3"/>
  <c r="E463" i="3" s="1"/>
  <c r="F463" i="3"/>
  <c r="D464" i="3"/>
  <c r="E464" i="3" s="1"/>
  <c r="F464" i="3"/>
  <c r="D465" i="3"/>
  <c r="E465" i="3" s="1"/>
  <c r="D466" i="3"/>
  <c r="F466" i="3" s="1"/>
  <c r="E466" i="3"/>
  <c r="D467" i="3"/>
  <c r="F467" i="3" s="1"/>
  <c r="D468" i="3"/>
  <c r="E468" i="3" s="1"/>
  <c r="F468" i="3"/>
  <c r="D469" i="3"/>
  <c r="F469" i="3" s="1"/>
  <c r="D470" i="3"/>
  <c r="E470" i="3" s="1"/>
  <c r="D471" i="3"/>
  <c r="E471" i="3" s="1"/>
  <c r="D472" i="3"/>
  <c r="E472" i="3" s="1"/>
  <c r="D473" i="3"/>
  <c r="E473" i="3"/>
  <c r="F473" i="3"/>
  <c r="D474" i="3"/>
  <c r="E474" i="3" s="1"/>
  <c r="D475" i="3"/>
  <c r="E475" i="3" s="1"/>
  <c r="D476" i="3"/>
  <c r="E476" i="3"/>
  <c r="F476" i="3"/>
  <c r="D477" i="3"/>
  <c r="E477" i="3" s="1"/>
  <c r="F477" i="3"/>
  <c r="D478" i="3"/>
  <c r="E478" i="3"/>
  <c r="F478" i="3"/>
  <c r="D479" i="3"/>
  <c r="E479" i="3"/>
  <c r="F479" i="3"/>
  <c r="D480" i="3"/>
  <c r="E480" i="3" s="1"/>
  <c r="D481" i="3"/>
  <c r="F481" i="3" s="1"/>
  <c r="E481" i="3"/>
  <c r="D482" i="3"/>
  <c r="E482" i="3"/>
  <c r="F482" i="3"/>
  <c r="D483" i="3"/>
  <c r="F483" i="3" s="1"/>
  <c r="E483" i="3"/>
  <c r="D484" i="3"/>
  <c r="E484" i="3" s="1"/>
  <c r="D485" i="3"/>
  <c r="E485" i="3" s="1"/>
  <c r="D486" i="3"/>
  <c r="E486" i="3" s="1"/>
  <c r="D487" i="3"/>
  <c r="F487" i="3" s="1"/>
  <c r="E487" i="3"/>
  <c r="D488" i="3"/>
  <c r="E488" i="3" s="1"/>
  <c r="D489" i="3"/>
  <c r="E489" i="3" s="1"/>
  <c r="D490" i="3"/>
  <c r="E490" i="3" s="1"/>
  <c r="F490" i="3"/>
  <c r="D491" i="3"/>
  <c r="E491" i="3" s="1"/>
  <c r="D492" i="3"/>
  <c r="E492" i="3" s="1"/>
  <c r="D493" i="3"/>
  <c r="E493" i="3"/>
  <c r="F493" i="3"/>
  <c r="D494" i="3"/>
  <c r="E494" i="3"/>
  <c r="F494" i="3"/>
  <c r="D495" i="3"/>
  <c r="E495" i="3" s="1"/>
  <c r="F495" i="3"/>
  <c r="D496" i="3"/>
  <c r="E496" i="3" s="1"/>
  <c r="F496" i="3"/>
  <c r="D497" i="3"/>
  <c r="F497" i="3" s="1"/>
  <c r="D498" i="3"/>
  <c r="E498" i="3" s="1"/>
  <c r="D499" i="3"/>
  <c r="E499" i="3" s="1"/>
  <c r="D500" i="3"/>
  <c r="E500" i="3" s="1"/>
  <c r="D501" i="3"/>
  <c r="E501" i="3"/>
  <c r="F501" i="3"/>
  <c r="D502" i="3"/>
  <c r="E502" i="3" s="1"/>
  <c r="D503" i="3"/>
  <c r="E503" i="3" s="1"/>
  <c r="D504" i="3"/>
  <c r="F504" i="3" s="1"/>
  <c r="E504" i="3"/>
  <c r="D505" i="3"/>
  <c r="E505" i="3" s="1"/>
  <c r="D506" i="3"/>
  <c r="E506" i="3"/>
  <c r="F506" i="3"/>
  <c r="D507" i="3"/>
  <c r="E507" i="3" s="1"/>
  <c r="D508" i="3"/>
  <c r="E508" i="3"/>
  <c r="F508" i="3"/>
  <c r="D509" i="3"/>
  <c r="F509" i="3" s="1"/>
  <c r="E509" i="3"/>
  <c r="D510" i="3"/>
  <c r="E510" i="3" s="1"/>
  <c r="D511" i="3"/>
  <c r="F511" i="3" s="1"/>
  <c r="E511" i="3"/>
  <c r="D512" i="3"/>
  <c r="E512" i="3" s="1"/>
  <c r="D513" i="3"/>
  <c r="E513" i="3" s="1"/>
  <c r="D514" i="3"/>
  <c r="E514" i="3" s="1"/>
  <c r="D515" i="3"/>
  <c r="E515" i="3"/>
  <c r="F515" i="3"/>
  <c r="D516" i="3"/>
  <c r="E516" i="3" s="1"/>
  <c r="D517" i="3"/>
  <c r="E517" i="3" s="1"/>
  <c r="D518" i="3"/>
  <c r="E518" i="3"/>
  <c r="F518" i="3"/>
  <c r="D519" i="3"/>
  <c r="E519" i="3" s="1"/>
  <c r="F519" i="3"/>
  <c r="D520" i="3"/>
  <c r="F520" i="3" s="1"/>
  <c r="E520" i="3"/>
  <c r="D521" i="3"/>
  <c r="E521" i="3" s="1"/>
  <c r="F521" i="3"/>
  <c r="D522" i="3"/>
  <c r="E522" i="3"/>
  <c r="F522" i="3"/>
  <c r="D523" i="3"/>
  <c r="E523" i="3"/>
  <c r="F523" i="3"/>
  <c r="D524" i="3"/>
  <c r="E524" i="3"/>
  <c r="F524" i="3"/>
  <c r="D525" i="3"/>
  <c r="F525" i="3" s="1"/>
  <c r="D526" i="3"/>
  <c r="E526" i="3" s="1"/>
  <c r="D527" i="3"/>
  <c r="E527" i="3" s="1"/>
  <c r="D528" i="3"/>
  <c r="E528" i="3" s="1"/>
  <c r="D529" i="3"/>
  <c r="E529" i="3"/>
  <c r="F529" i="3"/>
  <c r="D530" i="3"/>
  <c r="E530" i="3" s="1"/>
  <c r="D531" i="3"/>
  <c r="E531" i="3" s="1"/>
  <c r="D532" i="3"/>
  <c r="E532" i="3"/>
  <c r="F532" i="3"/>
  <c r="D533" i="3"/>
  <c r="E533" i="3" s="1"/>
  <c r="F533" i="3"/>
  <c r="D534" i="3"/>
  <c r="E534" i="3"/>
  <c r="F534" i="3"/>
  <c r="D535" i="3"/>
  <c r="E535" i="3" s="1"/>
  <c r="F535" i="3"/>
  <c r="D536" i="3"/>
  <c r="E536" i="3" s="1"/>
  <c r="F536" i="3"/>
  <c r="D537" i="3"/>
  <c r="E537" i="3" s="1"/>
  <c r="D538" i="3"/>
  <c r="F538" i="3" s="1"/>
  <c r="E538" i="3"/>
  <c r="D539" i="3"/>
  <c r="F539" i="3" s="1"/>
  <c r="D540" i="3"/>
  <c r="E540" i="3" s="1"/>
  <c r="D541" i="3"/>
  <c r="E541" i="3" s="1"/>
  <c r="D542" i="3"/>
  <c r="E542" i="3" s="1"/>
  <c r="D543" i="3"/>
  <c r="E543" i="3" s="1"/>
  <c r="F543" i="3"/>
  <c r="D544" i="3"/>
  <c r="E544" i="3" s="1"/>
  <c r="D545" i="3"/>
  <c r="E545" i="3" s="1"/>
  <c r="D546" i="3"/>
  <c r="E546" i="3"/>
  <c r="F546" i="3"/>
  <c r="D547" i="3"/>
  <c r="E547" i="3" s="1"/>
  <c r="F547" i="3"/>
  <c r="D548" i="3"/>
  <c r="E548" i="3"/>
  <c r="F548" i="3"/>
  <c r="D549" i="3"/>
  <c r="F549" i="3" s="1"/>
  <c r="E549" i="3"/>
  <c r="D550" i="3"/>
  <c r="E550" i="3" s="1"/>
  <c r="D551" i="3"/>
  <c r="E551" i="3"/>
  <c r="F551" i="3"/>
  <c r="D552" i="3"/>
  <c r="E552" i="3"/>
  <c r="F552" i="3"/>
  <c r="D553" i="3"/>
  <c r="F553" i="3" s="1"/>
  <c r="D554" i="3"/>
  <c r="E554" i="3" s="1"/>
  <c r="D555" i="3"/>
  <c r="E555" i="3" s="1"/>
  <c r="D556" i="3"/>
  <c r="E556" i="3" s="1"/>
  <c r="D557" i="3"/>
  <c r="E557" i="3" s="1"/>
  <c r="D558" i="3"/>
  <c r="E558" i="3" s="1"/>
  <c r="D559" i="3"/>
  <c r="E559" i="3" s="1"/>
  <c r="D560" i="3"/>
  <c r="E560" i="3" s="1"/>
  <c r="D561" i="3"/>
  <c r="E561" i="3" s="1"/>
  <c r="F561" i="3"/>
  <c r="D2" i="3"/>
  <c r="F2" i="3" s="1"/>
  <c r="A3" i="2" a="1"/>
  <c r="A3" i="2" s="1"/>
  <c r="B3" i="2" a="1"/>
  <c r="B3" i="2" s="1"/>
  <c r="C3" i="2" a="1"/>
  <c r="C3" i="2" s="1"/>
  <c r="D3" i="2" a="1"/>
  <c r="D3" i="2"/>
  <c r="E3" i="2" a="1"/>
  <c r="E3" i="2"/>
  <c r="A4" i="2" a="1"/>
  <c r="A4" i="2"/>
  <c r="B4" i="2" a="1"/>
  <c r="B4" i="2" s="1"/>
  <c r="C4" i="2" a="1"/>
  <c r="C4" i="2" s="1"/>
  <c r="D4" i="2" a="1"/>
  <c r="D4" i="2" s="1"/>
  <c r="E4" i="2" a="1"/>
  <c r="E4" i="2"/>
  <c r="A5" i="2" a="1"/>
  <c r="A5" i="2" s="1"/>
  <c r="B5" i="2" a="1"/>
  <c r="B5" i="2"/>
  <c r="C5" i="2" a="1"/>
  <c r="C5" i="2"/>
  <c r="D5" i="2" a="1"/>
  <c r="D5" i="2"/>
  <c r="E5" i="2" a="1"/>
  <c r="E5" i="2" s="1"/>
  <c r="A6" i="2" a="1"/>
  <c r="A6" i="2" s="1"/>
  <c r="B6" i="2" a="1"/>
  <c r="B6" i="2" s="1"/>
  <c r="C6" i="2" a="1"/>
  <c r="C6" i="2"/>
  <c r="D6" i="2" a="1"/>
  <c r="D6" i="2" s="1"/>
  <c r="E6" i="2" a="1"/>
  <c r="E6" i="2"/>
  <c r="A7" i="2" a="1"/>
  <c r="A7" i="2"/>
  <c r="B7" i="2" a="1"/>
  <c r="B7" i="2" s="1"/>
  <c r="C7" i="2" a="1"/>
  <c r="C7" i="2" s="1"/>
  <c r="D7" i="2" a="1"/>
  <c r="D7" i="2" s="1"/>
  <c r="E7" i="2" a="1"/>
  <c r="E7" i="2"/>
  <c r="A8" i="2" a="1"/>
  <c r="A8" i="2"/>
  <c r="B8" i="2" a="1"/>
  <c r="B8" i="2"/>
  <c r="C8" i="2" a="1"/>
  <c r="C8" i="2" s="1"/>
  <c r="D8" i="2" a="1"/>
  <c r="D8" i="2" s="1"/>
  <c r="E8" i="2" a="1"/>
  <c r="E8" i="2" s="1"/>
  <c r="A9" i="2" a="1"/>
  <c r="A9" i="2"/>
  <c r="B9" i="2" a="1"/>
  <c r="B9" i="2" s="1"/>
  <c r="C9" i="2" a="1"/>
  <c r="C9" i="2" s="1"/>
  <c r="D9" i="2" a="1"/>
  <c r="D9" i="2"/>
  <c r="E9" i="2" a="1"/>
  <c r="E9" i="2" s="1"/>
  <c r="A10" i="2" a="1"/>
  <c r="A10" i="2" s="1"/>
  <c r="B10" i="2" a="1"/>
  <c r="B10" i="2" s="1"/>
  <c r="C10" i="2" a="1"/>
  <c r="C10" i="2" s="1"/>
  <c r="D10" i="2" a="1"/>
  <c r="D10" i="2"/>
  <c r="E10" i="2" a="1"/>
  <c r="E10" i="2" s="1"/>
  <c r="A11" i="2" a="1"/>
  <c r="A11" i="2"/>
  <c r="B11" i="2" a="1"/>
  <c r="B11" i="2"/>
  <c r="C11" i="2" a="1"/>
  <c r="C11" i="2" s="1"/>
  <c r="D11" i="2" a="1"/>
  <c r="D11" i="2" s="1"/>
  <c r="E11" i="2" a="1"/>
  <c r="E11" i="2"/>
  <c r="A12" i="2" a="1"/>
  <c r="A12" i="2" s="1"/>
  <c r="B12" i="2" a="1"/>
  <c r="B12" i="2"/>
  <c r="C12" i="2" a="1"/>
  <c r="C12" i="2"/>
  <c r="D12" i="2" a="1"/>
  <c r="D12" i="2" s="1"/>
  <c r="E12" i="2" a="1"/>
  <c r="E12" i="2" s="1"/>
  <c r="A13" i="2" a="1"/>
  <c r="A13" i="2" s="1"/>
  <c r="B13" i="2" a="1"/>
  <c r="B13" i="2" s="1"/>
  <c r="C13" i="2" a="1"/>
  <c r="C13" i="2" s="1"/>
  <c r="D13" i="2" a="1"/>
  <c r="D13" i="2"/>
  <c r="E13" i="2" a="1"/>
  <c r="E13" i="2"/>
  <c r="A14" i="2" a="1"/>
  <c r="A14" i="2" s="1"/>
  <c r="B14" i="2" a="1"/>
  <c r="B14" i="2" s="1"/>
  <c r="C14" i="2" a="1"/>
  <c r="C14" i="2" s="1"/>
  <c r="D14" i="2" a="1"/>
  <c r="D14" i="2"/>
  <c r="E14" i="2" a="1"/>
  <c r="E14" i="2" s="1"/>
  <c r="A15" i="2" a="1"/>
  <c r="A15" i="2"/>
  <c r="B15" i="2" a="1"/>
  <c r="B15" i="2"/>
  <c r="C15" i="2" a="1"/>
  <c r="C15" i="2"/>
  <c r="D15" i="2" a="1"/>
  <c r="D15" i="2" s="1"/>
  <c r="E15" i="2" a="1"/>
  <c r="E15" i="2" s="1"/>
  <c r="A16" i="2" a="1"/>
  <c r="A16" i="2" s="1"/>
  <c r="B16" i="2" a="1"/>
  <c r="B16" i="2"/>
  <c r="C16" i="2" a="1"/>
  <c r="C16" i="2" s="1"/>
  <c r="D16" i="2" a="1"/>
  <c r="D16" i="2"/>
  <c r="E16" i="2" a="1"/>
  <c r="E16" i="2" s="1"/>
  <c r="A17" i="2" a="1"/>
  <c r="A17" i="2" s="1"/>
  <c r="B17" i="2" a="1"/>
  <c r="B17" i="2" s="1"/>
  <c r="C17" i="2" a="1"/>
  <c r="C17" i="2" s="1"/>
  <c r="D17" i="2" a="1"/>
  <c r="D17" i="2" s="1"/>
  <c r="E17" i="2" a="1"/>
  <c r="E17" i="2"/>
  <c r="A18" i="2" a="1"/>
  <c r="A18" i="2"/>
  <c r="B18" i="2" a="1"/>
  <c r="B18" i="2"/>
  <c r="C18" i="2" a="1"/>
  <c r="C18" i="2" s="1"/>
  <c r="D18" i="2" a="1"/>
  <c r="D18" i="2" s="1"/>
  <c r="E18" i="2" a="1"/>
  <c r="E18" i="2" s="1"/>
  <c r="A19" i="2" a="1"/>
  <c r="A19" i="2" s="1"/>
  <c r="B19" i="2" a="1"/>
  <c r="B19" i="2"/>
  <c r="C19" i="2" a="1"/>
  <c r="C19" i="2"/>
  <c r="D19" i="2" a="1"/>
  <c r="D19" i="2" s="1"/>
  <c r="E19" i="2" a="1"/>
  <c r="E19" i="2" s="1"/>
  <c r="A20" i="2" a="1"/>
  <c r="A20" i="2" s="1"/>
  <c r="B20" i="2" a="1"/>
  <c r="B20" i="2"/>
  <c r="C20" i="2" a="1"/>
  <c r="C20" i="2"/>
  <c r="D20" i="2" a="1"/>
  <c r="D20" i="2" s="1"/>
  <c r="E20" i="2" a="1"/>
  <c r="E20" i="2"/>
  <c r="A21" i="2" a="1"/>
  <c r="A21" i="2"/>
  <c r="B21" i="2" a="1"/>
  <c r="B21" i="2" s="1"/>
  <c r="C21" i="2" a="1"/>
  <c r="C21" i="2" s="1"/>
  <c r="D21" i="2" a="1"/>
  <c r="D21" i="2"/>
  <c r="E21" i="2" a="1"/>
  <c r="E21" i="2" s="1"/>
  <c r="A22" i="2" a="1"/>
  <c r="A22" i="2" s="1"/>
  <c r="B22" i="2" a="1"/>
  <c r="B22" i="2"/>
  <c r="C22" i="2" a="1"/>
  <c r="C22" i="2"/>
  <c r="D22" i="2" a="1"/>
  <c r="D22" i="2" s="1"/>
  <c r="E22" i="2" a="1"/>
  <c r="E22" i="2" s="1"/>
  <c r="A23" i="2" a="1"/>
  <c r="A23" i="2" s="1"/>
  <c r="B23" i="2" a="1"/>
  <c r="B23" i="2" s="1"/>
  <c r="C23" i="2" a="1"/>
  <c r="C23" i="2"/>
  <c r="D23" i="2" a="1"/>
  <c r="D23" i="2"/>
  <c r="E23" i="2" a="1"/>
  <c r="E23" i="2" s="1"/>
  <c r="A24" i="2" a="1"/>
  <c r="A24" i="2" s="1"/>
  <c r="B24" i="2" a="1"/>
  <c r="B24" i="2" s="1"/>
  <c r="C24" i="2" a="1"/>
  <c r="C24" i="2"/>
  <c r="D24" i="2" a="1"/>
  <c r="D24" i="2" s="1"/>
  <c r="E24" i="2" a="1"/>
  <c r="E24" i="2" s="1"/>
  <c r="A25" i="2" a="1"/>
  <c r="A25" i="2" s="1"/>
  <c r="B25" i="2" a="1"/>
  <c r="B25" i="2"/>
  <c r="C25" i="2" a="1"/>
  <c r="C25" i="2" s="1"/>
  <c r="D25" i="2" a="1"/>
  <c r="D25" i="2" s="1"/>
  <c r="E25" i="2" a="1"/>
  <c r="E25" i="2"/>
  <c r="A26" i="2" a="1"/>
  <c r="A26" i="2"/>
  <c r="B26" i="2" a="1"/>
  <c r="B26" i="2" s="1"/>
  <c r="C26" i="2" a="1"/>
  <c r="C26" i="2"/>
  <c r="D26" i="2" a="1"/>
  <c r="D26" i="2"/>
  <c r="E26" i="2" a="1"/>
  <c r="E26" i="2" s="1"/>
  <c r="A27" i="2" a="1"/>
  <c r="A27" i="2" s="1"/>
  <c r="B27" i="2" a="1"/>
  <c r="B27" i="2" s="1"/>
  <c r="C27" i="2" a="1"/>
  <c r="C27" i="2"/>
  <c r="D27" i="2" a="1"/>
  <c r="D27" i="2"/>
  <c r="E27" i="2" a="1"/>
  <c r="E27" i="2" s="1"/>
  <c r="A28" i="2" a="1"/>
  <c r="A28" i="2"/>
  <c r="B28" i="2" a="1"/>
  <c r="B28" i="2" s="1"/>
  <c r="C28" i="2" a="1"/>
  <c r="C28" i="2" s="1"/>
  <c r="D28" i="2" a="1"/>
  <c r="D28" i="2"/>
  <c r="E28" i="2" a="1"/>
  <c r="E28" i="2" s="1"/>
  <c r="A29" i="2" a="1"/>
  <c r="A29" i="2"/>
  <c r="B29" i="2" a="1"/>
  <c r="B29" i="2"/>
  <c r="C29" i="2" a="1"/>
  <c r="C29" i="2" s="1"/>
  <c r="D29" i="2" a="1"/>
  <c r="D29" i="2" s="1"/>
  <c r="E29" i="2" a="1"/>
  <c r="E29" i="2" s="1"/>
  <c r="A30" i="2" a="1"/>
  <c r="A30" i="2"/>
  <c r="B30" i="2" a="1"/>
  <c r="B30" i="2"/>
  <c r="C30" i="2" a="1"/>
  <c r="C30" i="2" s="1"/>
  <c r="D30" i="2" a="1"/>
  <c r="D30" i="2" s="1"/>
  <c r="E30" i="2" a="1"/>
  <c r="E30" i="2"/>
  <c r="A31" i="2" a="1"/>
  <c r="A31" i="2" s="1"/>
  <c r="B31" i="2" a="1"/>
  <c r="B31" i="2" s="1"/>
  <c r="C31" i="2" a="1"/>
  <c r="C31" i="2"/>
  <c r="D31" i="2" a="1"/>
  <c r="D31" i="2" s="1"/>
  <c r="E31" i="2" a="1"/>
  <c r="E31" i="2"/>
  <c r="A32" i="2" a="1"/>
  <c r="A32" i="2" s="1"/>
  <c r="B32" i="2" a="1"/>
  <c r="B32" i="2"/>
  <c r="C32" i="2" a="1"/>
  <c r="C32" i="2" s="1"/>
  <c r="D32" i="2" a="1"/>
  <c r="D32" i="2" s="1"/>
  <c r="E32" i="2" a="1"/>
  <c r="E32" i="2" s="1"/>
  <c r="A33" i="2" a="1"/>
  <c r="A33" i="2"/>
  <c r="B33" i="2" a="1"/>
  <c r="B33" i="2"/>
  <c r="C33" i="2" a="1"/>
  <c r="C33" i="2" s="1"/>
  <c r="D33" i="2" a="1"/>
  <c r="D33" i="2" s="1"/>
  <c r="E33" i="2" a="1"/>
  <c r="E33" i="2" s="1"/>
  <c r="A34" i="2" a="1"/>
  <c r="A34" i="2" s="1"/>
  <c r="B34" i="2" a="1"/>
  <c r="B34" i="2"/>
  <c r="C34" i="2" a="1"/>
  <c r="C34" i="2" s="1"/>
  <c r="D34" i="2" a="1"/>
  <c r="D34" i="2"/>
  <c r="E34" i="2" a="1"/>
  <c r="E34" i="2"/>
  <c r="A35" i="2" a="1"/>
  <c r="A35" i="2"/>
  <c r="B35" i="2" a="1"/>
  <c r="B35" i="2" s="1"/>
  <c r="C35" i="2" a="1"/>
  <c r="C35" i="2" s="1"/>
  <c r="D35" i="2" a="1"/>
  <c r="D35" i="2" s="1"/>
  <c r="E35" i="2" a="1"/>
  <c r="E35" i="2"/>
  <c r="A36" i="2" a="1"/>
  <c r="A36" i="2" s="1"/>
  <c r="B36" i="2" a="1"/>
  <c r="B36" i="2"/>
  <c r="C36" i="2" a="1"/>
  <c r="C36" i="2" s="1"/>
  <c r="D36" i="2" a="1"/>
  <c r="D36" i="2" s="1"/>
  <c r="E36" i="2" a="1"/>
  <c r="E36" i="2" s="1"/>
  <c r="A37" i="2" a="1"/>
  <c r="A37" i="2" s="1"/>
  <c r="B37" i="2" a="1"/>
  <c r="B37" i="2" s="1"/>
  <c r="C37" i="2" a="1"/>
  <c r="C37" i="2"/>
  <c r="D37" i="2" a="1"/>
  <c r="D37" i="2" s="1"/>
  <c r="E37" i="2" a="1"/>
  <c r="E37" i="2"/>
  <c r="A38" i="2" a="1"/>
  <c r="A38" i="2" s="1"/>
  <c r="B38" i="2" a="1"/>
  <c r="B38" i="2" s="1"/>
  <c r="C38" i="2" a="1"/>
  <c r="C38" i="2" s="1"/>
  <c r="D38" i="2" a="1"/>
  <c r="D38" i="2" s="1"/>
  <c r="E38" i="2" a="1"/>
  <c r="E38" i="2"/>
  <c r="A39" i="2" a="1"/>
  <c r="A39" i="2"/>
  <c r="B39" i="2" a="1"/>
  <c r="B39" i="2" s="1"/>
  <c r="C39" i="2" a="1"/>
  <c r="C39" i="2" s="1"/>
  <c r="D39" i="2" a="1"/>
  <c r="D39" i="2" s="1"/>
  <c r="E39" i="2" a="1"/>
  <c r="E39" i="2"/>
  <c r="A40" i="2" a="1"/>
  <c r="A40" i="2"/>
  <c r="B40" i="2" a="1"/>
  <c r="B40" i="2" s="1"/>
  <c r="C40" i="2" a="1"/>
  <c r="C40" i="2"/>
  <c r="D40" i="2" a="1"/>
  <c r="D40" i="2"/>
  <c r="E40" i="2" a="1"/>
  <c r="E40" i="2" s="1"/>
  <c r="A41" i="2" a="1"/>
  <c r="A41" i="2" s="1"/>
  <c r="B41" i="2" a="1"/>
  <c r="B41" i="2"/>
  <c r="C41" i="2" a="1"/>
  <c r="C41" i="2" s="1"/>
  <c r="D41" i="2" a="1"/>
  <c r="D41" i="2" s="1"/>
  <c r="E41" i="2" a="1"/>
  <c r="E41" i="2" s="1"/>
  <c r="A42" i="2" a="1"/>
  <c r="A42" i="2" s="1"/>
  <c r="B42" i="2" a="1"/>
  <c r="B42" i="2" s="1"/>
  <c r="C42" i="2" a="1"/>
  <c r="C42" i="2" s="1"/>
  <c r="D42" i="2" a="1"/>
  <c r="D42" i="2" s="1"/>
  <c r="E42" i="2" a="1"/>
  <c r="E42" i="2" s="1"/>
  <c r="A43" i="2" a="1"/>
  <c r="A43" i="2" s="1"/>
  <c r="B43" i="2" a="1"/>
  <c r="B43" i="2" s="1"/>
  <c r="C43" i="2" a="1"/>
  <c r="C43" i="2" s="1"/>
  <c r="D43" i="2" a="1"/>
  <c r="D43" i="2" s="1"/>
  <c r="E43" i="2" a="1"/>
  <c r="E43" i="2" s="1"/>
  <c r="A44" i="2" a="1"/>
  <c r="A44" i="2"/>
  <c r="B44" i="2" a="1"/>
  <c r="B44" i="2" s="1"/>
  <c r="C44" i="2" a="1"/>
  <c r="C44" i="2"/>
  <c r="D44" i="2" a="1"/>
  <c r="D44" i="2" s="1"/>
  <c r="E44" i="2" a="1"/>
  <c r="E44" i="2" s="1"/>
  <c r="A45" i="2" a="1"/>
  <c r="A45" i="2" s="1"/>
  <c r="B45" i="2" a="1"/>
  <c r="B45" i="2" s="1"/>
  <c r="C45" i="2" a="1"/>
  <c r="C45" i="2" s="1"/>
  <c r="D45" i="2" a="1"/>
  <c r="D45" i="2"/>
  <c r="E45" i="2" a="1"/>
  <c r="E45" i="2" s="1"/>
  <c r="A46" i="2" a="1"/>
  <c r="A46" i="2" s="1"/>
  <c r="B46" i="2" a="1"/>
  <c r="B46" i="2" s="1"/>
  <c r="C46" i="2" a="1"/>
  <c r="C46" i="2" s="1"/>
  <c r="D46" i="2" a="1"/>
  <c r="D46" i="2" s="1"/>
  <c r="E46" i="2" a="1"/>
  <c r="E46" i="2" s="1"/>
  <c r="A47" i="2" a="1"/>
  <c r="A47" i="2" s="1"/>
  <c r="B47" i="2" a="1"/>
  <c r="B47" i="2"/>
  <c r="C47" i="2" a="1"/>
  <c r="C47" i="2" s="1"/>
  <c r="D47" i="2" a="1"/>
  <c r="D47" i="2" s="1"/>
  <c r="E47" i="2" a="1"/>
  <c r="E47" i="2" s="1"/>
  <c r="A48" i="2" a="1"/>
  <c r="A48" i="2" s="1"/>
  <c r="B48" i="2" a="1"/>
  <c r="B48" i="2"/>
  <c r="C48" i="2" a="1"/>
  <c r="C48" i="2" s="1"/>
  <c r="D48" i="2" a="1"/>
  <c r="D48" i="2"/>
  <c r="E48" i="2" a="1"/>
  <c r="E48" i="2"/>
  <c r="A49" i="2" a="1"/>
  <c r="A49" i="2" s="1"/>
  <c r="B49" i="2" a="1"/>
  <c r="B49" i="2" s="1"/>
  <c r="C49" i="2" a="1"/>
  <c r="C49" i="2" s="1"/>
  <c r="D49" i="2" a="1"/>
  <c r="D49" i="2" s="1"/>
  <c r="E49" i="2" a="1"/>
  <c r="E49" i="2" s="1"/>
  <c r="A50" i="2" a="1"/>
  <c r="A50" i="2" s="1"/>
  <c r="B50" i="2" a="1"/>
  <c r="B50" i="2" s="1"/>
  <c r="C50" i="2" a="1"/>
  <c r="C50" i="2"/>
  <c r="D50" i="2" a="1"/>
  <c r="D50" i="2" s="1"/>
  <c r="E50" i="2" a="1"/>
  <c r="E50" i="2" s="1"/>
  <c r="A51" i="2" a="1"/>
  <c r="A51" i="2" s="1"/>
  <c r="B51" i="2" a="1"/>
  <c r="B51" i="2"/>
  <c r="C51" i="2" a="1"/>
  <c r="C51" i="2"/>
  <c r="D51" i="2" a="1"/>
  <c r="D51" i="2" s="1"/>
  <c r="E51" i="2" a="1"/>
  <c r="E51" i="2"/>
  <c r="A52" i="2" a="1"/>
  <c r="A52" i="2" s="1"/>
  <c r="B52" i="2" a="1"/>
  <c r="B52" i="2" s="1"/>
  <c r="C52" i="2" a="1"/>
  <c r="C52" i="2" s="1"/>
  <c r="D52" i="2" a="1"/>
  <c r="D52" i="2" s="1"/>
  <c r="E52" i="2" a="1"/>
  <c r="E52" i="2" s="1"/>
  <c r="A53" i="2" a="1"/>
  <c r="A53" i="2"/>
  <c r="B53" i="2" a="1"/>
  <c r="B53" i="2" s="1"/>
  <c r="C53" i="2" a="1"/>
  <c r="C53" i="2" s="1"/>
  <c r="D53" i="2" a="1"/>
  <c r="D53" i="2" s="1"/>
  <c r="E53" i="2" a="1"/>
  <c r="E53" i="2"/>
  <c r="A54" i="2" a="1"/>
  <c r="A54" i="2" s="1"/>
  <c r="B54" i="2" a="1"/>
  <c r="B54" i="2"/>
  <c r="C54" i="2" a="1"/>
  <c r="C54" i="2" s="1"/>
  <c r="D54" i="2" a="1"/>
  <c r="D54" i="2" s="1"/>
  <c r="E54" i="2" a="1"/>
  <c r="E54" i="2" s="1"/>
  <c r="A55" i="2" a="1"/>
  <c r="A55" i="2" s="1"/>
  <c r="B55" i="2" a="1"/>
  <c r="B55" i="2"/>
  <c r="C55" i="2" a="1"/>
  <c r="C55" i="2"/>
  <c r="D55" i="2" a="1"/>
  <c r="D55" i="2" s="1"/>
  <c r="E55" i="2" a="1"/>
  <c r="E55" i="2"/>
  <c r="A56" i="2" a="1"/>
  <c r="A56" i="2"/>
  <c r="B56" i="2" a="1"/>
  <c r="B56" i="2" s="1"/>
  <c r="C56" i="2" a="1"/>
  <c r="C56" i="2" s="1"/>
  <c r="D56" i="2" a="1"/>
  <c r="D56" i="2" s="1"/>
  <c r="E56" i="2" a="1"/>
  <c r="E56" i="2"/>
  <c r="A57" i="2" a="1"/>
  <c r="A57" i="2"/>
  <c r="B57" i="2" a="1"/>
  <c r="B57" i="2" s="1"/>
  <c r="C57" i="2" a="1"/>
  <c r="C57" i="2" s="1"/>
  <c r="D57" i="2" a="1"/>
  <c r="D57" i="2" s="1"/>
  <c r="E57" i="2" a="1"/>
  <c r="E57" i="2" s="1"/>
  <c r="A58" i="2" a="1"/>
  <c r="A58" i="2"/>
  <c r="B58" i="2" a="1"/>
  <c r="B58" i="2" s="1"/>
  <c r="C58" i="2" a="1"/>
  <c r="C58" i="2" s="1"/>
  <c r="D58" i="2" a="1"/>
  <c r="D58" i="2"/>
  <c r="E58" i="2" a="1"/>
  <c r="E58" i="2" s="1"/>
  <c r="A59" i="2" a="1"/>
  <c r="A59" i="2" s="1"/>
  <c r="B59" i="2" a="1"/>
  <c r="B59" i="2" s="1"/>
  <c r="C59" i="2" a="1"/>
  <c r="C59" i="2"/>
  <c r="D59" i="2" a="1"/>
  <c r="D59" i="2"/>
  <c r="E59" i="2" a="1"/>
  <c r="E59" i="2" s="1"/>
  <c r="A60" i="2" a="1"/>
  <c r="A60" i="2" s="1"/>
  <c r="B60" i="2" a="1"/>
  <c r="B60" i="2"/>
  <c r="C60" i="2" a="1"/>
  <c r="C60" i="2" s="1"/>
  <c r="D60" i="2" a="1"/>
  <c r="D60" i="2" s="1"/>
  <c r="E60" i="2" a="1"/>
  <c r="E60" i="2"/>
  <c r="A61" i="2" a="1"/>
  <c r="A61" i="2"/>
  <c r="B61" i="2" a="1"/>
  <c r="B61" i="2" s="1"/>
  <c r="C61" i="2" a="1"/>
  <c r="C61" i="2" s="1"/>
  <c r="D61" i="2" a="1"/>
  <c r="D61" i="2" s="1"/>
  <c r="E61" i="2" a="1"/>
  <c r="E61" i="2" s="1"/>
  <c r="A62" i="2" a="1"/>
  <c r="A62" i="2" s="1"/>
  <c r="B62" i="2" a="1"/>
  <c r="B62" i="2" s="1"/>
  <c r="C62" i="2" a="1"/>
  <c r="C62" i="2"/>
  <c r="D62" i="2" a="1"/>
  <c r="D62" i="2"/>
  <c r="E62" i="2" a="1"/>
  <c r="E62" i="2"/>
  <c r="A63" i="2" a="1"/>
  <c r="A63" i="2" s="1"/>
  <c r="B63" i="2" a="1"/>
  <c r="B63" i="2" s="1"/>
  <c r="C63" i="2" a="1"/>
  <c r="C63" i="2" s="1"/>
  <c r="D63" i="2" a="1"/>
  <c r="D63" i="2"/>
  <c r="E63" i="2" a="1"/>
  <c r="E63" i="2" s="1"/>
  <c r="A64" i="2" a="1"/>
  <c r="A64" i="2" s="1"/>
  <c r="B64" i="2" a="1"/>
  <c r="B64" i="2"/>
  <c r="C64" i="2" a="1"/>
  <c r="C64" i="2"/>
  <c r="D64" i="2" a="1"/>
  <c r="D64" i="2" s="1"/>
  <c r="E64" i="2" a="1"/>
  <c r="E64" i="2" s="1"/>
  <c r="A65" i="2" a="1"/>
  <c r="A65" i="2" s="1"/>
  <c r="B65" i="2" a="1"/>
  <c r="B65" i="2"/>
  <c r="C65" i="2" a="1"/>
  <c r="C65" i="2" s="1"/>
  <c r="D65" i="2" a="1"/>
  <c r="D65" i="2"/>
  <c r="E65" i="2" a="1"/>
  <c r="E65" i="2"/>
  <c r="A66" i="2" a="1"/>
  <c r="A66" i="2" s="1"/>
  <c r="B66" i="2" a="1"/>
  <c r="B66" i="2" s="1"/>
  <c r="C66" i="2" a="1"/>
  <c r="C66" i="2" s="1"/>
  <c r="D66" i="2" a="1"/>
  <c r="D66" i="2"/>
  <c r="E66" i="2" a="1"/>
  <c r="E66" i="2"/>
  <c r="A67" i="2" a="1"/>
  <c r="A67" i="2" s="1"/>
  <c r="B67" i="2" a="1"/>
  <c r="B67" i="2"/>
  <c r="C67" i="2" a="1"/>
  <c r="C67" i="2" s="1"/>
  <c r="D67" i="2" a="1"/>
  <c r="D67" i="2" s="1"/>
  <c r="E67" i="2" a="1"/>
  <c r="E67" i="2"/>
  <c r="A68" i="2" a="1"/>
  <c r="A68" i="2" s="1"/>
  <c r="B68" i="2" a="1"/>
  <c r="B68" i="2"/>
  <c r="C68" i="2" a="1"/>
  <c r="C68" i="2"/>
  <c r="D68" i="2" a="1"/>
  <c r="D68" i="2" s="1"/>
  <c r="E68" i="2" a="1"/>
  <c r="E68" i="2" s="1"/>
  <c r="A69" i="2" a="1"/>
  <c r="A69" i="2" s="1"/>
  <c r="B69" i="2" a="1"/>
  <c r="B69" i="2"/>
  <c r="C69" i="2" a="1"/>
  <c r="C69" i="2"/>
  <c r="D69" i="2" a="1"/>
  <c r="D69" i="2" s="1"/>
  <c r="E69" i="2" a="1"/>
  <c r="E69" i="2"/>
  <c r="A70" i="2" a="1"/>
  <c r="A70" i="2"/>
  <c r="B70" i="2" a="1"/>
  <c r="B70" i="2" s="1"/>
  <c r="C70" i="2" a="1"/>
  <c r="C70" i="2" s="1"/>
  <c r="D70" i="2" a="1"/>
  <c r="D70" i="2" s="1"/>
  <c r="E70" i="2" a="1"/>
  <c r="E70" i="2"/>
  <c r="A71" i="2" a="1"/>
  <c r="A71" i="2" s="1"/>
  <c r="B71" i="2" a="1"/>
  <c r="B71" i="2" s="1"/>
  <c r="C71" i="2" a="1"/>
  <c r="C71" i="2"/>
  <c r="D71" i="2" a="1"/>
  <c r="D71" i="2" s="1"/>
  <c r="E71" i="2" a="1"/>
  <c r="E71" i="2" s="1"/>
  <c r="A72" i="2" a="1"/>
  <c r="A72" i="2" s="1"/>
  <c r="B72" i="2" a="1"/>
  <c r="B72" i="2"/>
  <c r="C72" i="2" a="1"/>
  <c r="C72" i="2" s="1"/>
  <c r="D72" i="2" a="1"/>
  <c r="D72" i="2"/>
  <c r="E72" i="2" a="1"/>
  <c r="E72" i="2" s="1"/>
  <c r="A73" i="2" a="1"/>
  <c r="A73" i="2" s="1"/>
  <c r="B73" i="2" a="1"/>
  <c r="B73" i="2" s="1"/>
  <c r="C73" i="2" a="1"/>
  <c r="C73" i="2"/>
  <c r="D73" i="2" a="1"/>
  <c r="D73" i="2" s="1"/>
  <c r="E73" i="2" a="1"/>
  <c r="E73" i="2"/>
  <c r="A74" i="2" a="1"/>
  <c r="A74" i="2"/>
  <c r="B74" i="2" a="1"/>
  <c r="B74" i="2" s="1"/>
  <c r="C74" i="2" a="1"/>
  <c r="C74" i="2" s="1"/>
  <c r="D74" i="2" a="1"/>
  <c r="D74" i="2" s="1"/>
  <c r="E74" i="2" a="1"/>
  <c r="E74" i="2" s="1"/>
  <c r="A75" i="2" a="1"/>
  <c r="A75" i="2"/>
  <c r="B75" i="2" a="1"/>
  <c r="B75" i="2" s="1"/>
  <c r="C75" i="2" a="1"/>
  <c r="C75" i="2" s="1"/>
  <c r="D75" i="2" a="1"/>
  <c r="D75" i="2" s="1"/>
  <c r="E75" i="2" a="1"/>
  <c r="E75" i="2" s="1"/>
  <c r="A76" i="2" a="1"/>
  <c r="A76" i="2" s="1"/>
  <c r="B76" i="2" a="1"/>
  <c r="B76" i="2" s="1"/>
  <c r="C76" i="2" a="1"/>
  <c r="C76" i="2"/>
  <c r="D76" i="2" a="1"/>
  <c r="D76" i="2"/>
  <c r="E76" i="2" a="1"/>
  <c r="E76" i="2" s="1"/>
  <c r="A77" i="2" a="1"/>
  <c r="A77" i="2"/>
  <c r="B77" i="2" a="1"/>
  <c r="B77" i="2" s="1"/>
  <c r="C77" i="2" a="1"/>
  <c r="C77" i="2" s="1"/>
  <c r="D77" i="2" a="1"/>
  <c r="D77" i="2" s="1"/>
  <c r="E77" i="2" a="1"/>
  <c r="E77" i="2" s="1"/>
  <c r="A78" i="2" a="1"/>
  <c r="A78" i="2" s="1"/>
  <c r="B78" i="2" a="1"/>
  <c r="B78" i="2"/>
  <c r="C78" i="2" a="1"/>
  <c r="C78" i="2" s="1"/>
  <c r="D78" i="2" a="1"/>
  <c r="D78" i="2" s="1"/>
  <c r="E78" i="2" a="1"/>
  <c r="E78" i="2" s="1"/>
  <c r="A79" i="2" a="1"/>
  <c r="A79" i="2"/>
  <c r="B79" i="2" a="1"/>
  <c r="B79" i="2" s="1"/>
  <c r="C79" i="2" a="1"/>
  <c r="C79" i="2" s="1"/>
  <c r="D79" i="2" a="1"/>
  <c r="D79" i="2"/>
  <c r="E79" i="2" a="1"/>
  <c r="E79" i="2"/>
  <c r="A80" i="2" a="1"/>
  <c r="A80" i="2" s="1"/>
  <c r="B80" i="2" a="1"/>
  <c r="B80" i="2" s="1"/>
  <c r="C80" i="2" a="1"/>
  <c r="C80" i="2" s="1"/>
  <c r="D80" i="2" a="1"/>
  <c r="D80" i="2" s="1"/>
  <c r="E80" i="2" a="1"/>
  <c r="E80" i="2"/>
  <c r="A81" i="2" a="1"/>
  <c r="A81" i="2" s="1"/>
  <c r="B81" i="2" a="1"/>
  <c r="B81" i="2" s="1"/>
  <c r="C81" i="2" a="1"/>
  <c r="C81" i="2" s="1"/>
  <c r="D81" i="2" a="1"/>
  <c r="D81" i="2" s="1"/>
  <c r="E81" i="2" a="1"/>
  <c r="E81" i="2" s="1"/>
  <c r="A82" i="2" a="1"/>
  <c r="A82" i="2"/>
  <c r="B82" i="2" a="1"/>
  <c r="B82" i="2" s="1"/>
  <c r="C82" i="2" a="1"/>
  <c r="C82" i="2" s="1"/>
  <c r="D82" i="2" a="1"/>
  <c r="D82" i="2" s="1"/>
  <c r="E82" i="2" a="1"/>
  <c r="E82" i="2" s="1"/>
  <c r="A83" i="2" a="1"/>
  <c r="A83" i="2" s="1"/>
  <c r="B83" i="2" a="1"/>
  <c r="B83" i="2"/>
  <c r="C83" i="2" a="1"/>
  <c r="C83" i="2" s="1"/>
  <c r="D83" i="2" a="1"/>
  <c r="D83" i="2" s="1"/>
  <c r="E83" i="2" a="1"/>
  <c r="E83" i="2" s="1"/>
  <c r="A84" i="2" a="1"/>
  <c r="A84" i="2" s="1"/>
  <c r="B84" i="2" a="1"/>
  <c r="B84" i="2" s="1"/>
  <c r="C84" i="2" a="1"/>
  <c r="C84" i="2" s="1"/>
  <c r="D84" i="2" a="1"/>
  <c r="D84" i="2"/>
  <c r="E84" i="2" a="1"/>
  <c r="E84" i="2"/>
  <c r="A85" i="2" a="1"/>
  <c r="A85" i="2" s="1"/>
  <c r="B85" i="2" a="1"/>
  <c r="B85" i="2" s="1"/>
  <c r="C85" i="2" a="1"/>
  <c r="C85" i="2"/>
  <c r="D85" i="2" a="1"/>
  <c r="D85" i="2" s="1"/>
  <c r="E85" i="2" a="1"/>
  <c r="E85" i="2" s="1"/>
  <c r="A86" i="2" a="1"/>
  <c r="A86" i="2" s="1"/>
  <c r="B86" i="2" a="1"/>
  <c r="B86" i="2" s="1"/>
  <c r="C86" i="2" a="1"/>
  <c r="C86" i="2"/>
  <c r="D86" i="2" a="1"/>
  <c r="D86" i="2" s="1"/>
  <c r="E86" i="2" a="1"/>
  <c r="E86" i="2" s="1"/>
  <c r="A87" i="2" a="1"/>
  <c r="A87" i="2" s="1"/>
  <c r="B87" i="2" a="1"/>
  <c r="B87" i="2" s="1"/>
  <c r="C87" i="2" a="1"/>
  <c r="C87" i="2"/>
  <c r="D87" i="2" a="1"/>
  <c r="D87" i="2" s="1"/>
  <c r="E87" i="2" a="1"/>
  <c r="E87" i="2" s="1"/>
  <c r="A88" i="2" a="1"/>
  <c r="A88" i="2" s="1"/>
  <c r="B88" i="2" a="1"/>
  <c r="B88" i="2" s="1"/>
  <c r="C88" i="2" a="1"/>
  <c r="C88" i="2" s="1"/>
  <c r="D88" i="2" a="1"/>
  <c r="D88" i="2" s="1"/>
  <c r="E88" i="2" a="1"/>
  <c r="E88" i="2" s="1"/>
  <c r="A89" i="2" a="1"/>
  <c r="A89" i="2" s="1"/>
  <c r="B89" i="2" a="1"/>
  <c r="B89" i="2" s="1"/>
  <c r="C89" i="2" a="1"/>
  <c r="C89" i="2"/>
  <c r="D89" i="2" a="1"/>
  <c r="D89" i="2" s="1"/>
  <c r="E89" i="2" a="1"/>
  <c r="E89" i="2" s="1"/>
  <c r="A90" i="2" a="1"/>
  <c r="A90" i="2" s="1"/>
  <c r="B90" i="2" a="1"/>
  <c r="B90" i="2"/>
  <c r="C90" i="2" a="1"/>
  <c r="C90" i="2"/>
  <c r="D90" i="2" a="1"/>
  <c r="D90" i="2"/>
  <c r="E90" i="2" a="1"/>
  <c r="E90" i="2" s="1"/>
  <c r="A91" i="2" a="1"/>
  <c r="A91" i="2"/>
  <c r="B91" i="2" a="1"/>
  <c r="B91" i="2" s="1"/>
  <c r="C91" i="2" a="1"/>
  <c r="C91" i="2" s="1"/>
  <c r="D91" i="2" a="1"/>
  <c r="D91" i="2" s="1"/>
  <c r="E91" i="2" a="1"/>
  <c r="E91" i="2" s="1"/>
  <c r="A92" i="2" a="1"/>
  <c r="A92" i="2"/>
  <c r="B92" i="2" a="1"/>
  <c r="B92" i="2"/>
  <c r="C92" i="2" a="1"/>
  <c r="C92" i="2" s="1"/>
  <c r="D92" i="2" a="1"/>
  <c r="D92" i="2" s="1"/>
  <c r="E92" i="2" a="1"/>
  <c r="E92" i="2" s="1"/>
  <c r="A93" i="2" a="1"/>
  <c r="A93" i="2"/>
  <c r="B93" i="2" a="1"/>
  <c r="B93" i="2" s="1"/>
  <c r="C93" i="2" a="1"/>
  <c r="C93" i="2" s="1"/>
  <c r="D93" i="2" a="1"/>
  <c r="D93" i="2" s="1"/>
  <c r="E93" i="2" a="1"/>
  <c r="E93" i="2"/>
  <c r="A94" i="2" a="1"/>
  <c r="A94" i="2" s="1"/>
  <c r="B94" i="2" a="1"/>
  <c r="B94" i="2" s="1"/>
  <c r="C94" i="2" a="1"/>
  <c r="C94" i="2"/>
  <c r="D94" i="2" a="1"/>
  <c r="D94" i="2" s="1"/>
  <c r="E94" i="2" a="1"/>
  <c r="E94" i="2" s="1"/>
  <c r="A95" i="2" a="1"/>
  <c r="A95" i="2"/>
  <c r="B95" i="2" a="1"/>
  <c r="B95" i="2"/>
  <c r="C95" i="2" a="1"/>
  <c r="C95" i="2" s="1"/>
  <c r="D95" i="2" a="1"/>
  <c r="D95" i="2" s="1"/>
  <c r="E95" i="2" a="1"/>
  <c r="E95" i="2" s="1"/>
  <c r="A96" i="2" a="1"/>
  <c r="A96" i="2"/>
  <c r="B96" i="2" a="1"/>
  <c r="B96" i="2"/>
  <c r="C96" i="2" a="1"/>
  <c r="C96" i="2" s="1"/>
  <c r="D96" i="2" a="1"/>
  <c r="D96" i="2"/>
  <c r="E96" i="2" a="1"/>
  <c r="E96" i="2" s="1"/>
  <c r="A97" i="2" a="1"/>
  <c r="A97" i="2" s="1"/>
  <c r="B97" i="2" a="1"/>
  <c r="B97" i="2"/>
  <c r="C97" i="2" a="1"/>
  <c r="C97" i="2" s="1"/>
  <c r="D97" i="2" a="1"/>
  <c r="D97" i="2"/>
  <c r="E97" i="2" a="1"/>
  <c r="E97" i="2"/>
  <c r="A98" i="2" a="1"/>
  <c r="A98" i="2" s="1"/>
  <c r="B98" i="2" a="1"/>
  <c r="B98" i="2" s="1"/>
  <c r="C98" i="2" a="1"/>
  <c r="C98" i="2" s="1"/>
  <c r="D98" i="2" a="1"/>
  <c r="D98" i="2"/>
  <c r="E98" i="2" a="1"/>
  <c r="E98" i="2"/>
  <c r="A99" i="2" a="1"/>
  <c r="A99" i="2" s="1"/>
  <c r="B99" i="2" a="1"/>
  <c r="B99" i="2" s="1"/>
  <c r="C99" i="2" a="1"/>
  <c r="C99" i="2"/>
  <c r="D99" i="2" a="1"/>
  <c r="D99" i="2" s="1"/>
  <c r="E99" i="2" a="1"/>
  <c r="E99" i="2" s="1"/>
  <c r="A100" i="2" a="1"/>
  <c r="A100" i="2"/>
  <c r="B100" i="2" a="1"/>
  <c r="B100" i="2" s="1"/>
  <c r="C100" i="2" a="1"/>
  <c r="C100" i="2"/>
  <c r="D100" i="2" a="1"/>
  <c r="D100" i="2" s="1"/>
  <c r="E100" i="2" a="1"/>
  <c r="E100" i="2"/>
  <c r="A101" i="2" a="1"/>
  <c r="A101" i="2" s="1"/>
  <c r="B101" i="2" a="1"/>
  <c r="B101" i="2" s="1"/>
  <c r="C101" i="2" a="1"/>
  <c r="C101" i="2" s="1"/>
  <c r="D101" i="2" a="1"/>
  <c r="D101" i="2"/>
  <c r="E101" i="2" a="1"/>
  <c r="E101" i="2"/>
  <c r="A102" i="2" a="1"/>
  <c r="A102" i="2" s="1"/>
  <c r="B102" i="2" a="1"/>
  <c r="B102" i="2" s="1"/>
  <c r="C102" i="2" a="1"/>
  <c r="C102" i="2" s="1"/>
  <c r="D102" i="2" a="1"/>
  <c r="D102" i="2" s="1"/>
  <c r="E102" i="2" a="1"/>
  <c r="E102" i="2"/>
  <c r="A103" i="2" a="1"/>
  <c r="A103" i="2" s="1"/>
  <c r="B103" i="2" a="1"/>
  <c r="B103" i="2"/>
  <c r="C103" i="2" a="1"/>
  <c r="C103" i="2"/>
  <c r="D103" i="2" a="1"/>
  <c r="D103" i="2"/>
  <c r="E103" i="2" a="1"/>
  <c r="E103" i="2" s="1"/>
  <c r="A104" i="2" a="1"/>
  <c r="A104" i="2" s="1"/>
  <c r="B104" i="2" a="1"/>
  <c r="B104" i="2" s="1"/>
  <c r="C104" i="2" a="1"/>
  <c r="C104" i="2" s="1"/>
  <c r="D104" i="2" a="1"/>
  <c r="D104" i="2" s="1"/>
  <c r="E104" i="2" a="1"/>
  <c r="E104" i="2"/>
  <c r="A105" i="2" a="1"/>
  <c r="A105" i="2" s="1"/>
  <c r="B105" i="2" a="1"/>
  <c r="B105" i="2" s="1"/>
  <c r="C105" i="2" a="1"/>
  <c r="C105" i="2" s="1"/>
  <c r="D105" i="2" a="1"/>
  <c r="D105" i="2" s="1"/>
  <c r="E105" i="2" a="1"/>
  <c r="E105" i="2" s="1"/>
  <c r="A106" i="2" a="1"/>
  <c r="A106" i="2"/>
  <c r="B106" i="2" a="1"/>
  <c r="B106" i="2" s="1"/>
  <c r="C106" i="2" a="1"/>
  <c r="C106" i="2"/>
  <c r="D106" i="2" a="1"/>
  <c r="D106" i="2" s="1"/>
  <c r="E106" i="2" a="1"/>
  <c r="E106" i="2" s="1"/>
  <c r="A107" i="2" a="1"/>
  <c r="A107" i="2" s="1"/>
  <c r="B107" i="2" a="1"/>
  <c r="B107" i="2" s="1"/>
  <c r="C107" i="2" a="1"/>
  <c r="C107" i="2"/>
  <c r="D107" i="2" a="1"/>
  <c r="D107" i="2" s="1"/>
  <c r="E107" i="2" a="1"/>
  <c r="E107" i="2" s="1"/>
  <c r="A108" i="2" a="1"/>
  <c r="A108" i="2" s="1"/>
  <c r="B108" i="2" a="1"/>
  <c r="B108" i="2" s="1"/>
  <c r="C108" i="2" a="1"/>
  <c r="C108" i="2"/>
  <c r="D108" i="2" a="1"/>
  <c r="D108" i="2"/>
  <c r="E108" i="2" a="1"/>
  <c r="E108" i="2" s="1"/>
  <c r="A109" i="2" a="1"/>
  <c r="A109" i="2"/>
  <c r="B109" i="2" a="1"/>
  <c r="B109" i="2"/>
  <c r="C109" i="2" a="1"/>
  <c r="C109" i="2" s="1"/>
  <c r="D109" i="2" a="1"/>
  <c r="D109" i="2" s="1"/>
  <c r="E109" i="2" a="1"/>
  <c r="E109" i="2"/>
  <c r="A110" i="2" a="1"/>
  <c r="A110" i="2" s="1"/>
  <c r="B110" i="2" a="1"/>
  <c r="B110" i="2" s="1"/>
  <c r="C110" i="2" a="1"/>
  <c r="C110" i="2" s="1"/>
  <c r="D110" i="2" a="1"/>
  <c r="D110" i="2" s="1"/>
  <c r="E110" i="2" a="1"/>
  <c r="E110" i="2" s="1"/>
  <c r="A111" i="2" a="1"/>
  <c r="A111" i="2" s="1"/>
  <c r="B111" i="2" a="1"/>
  <c r="B111" i="2" s="1"/>
  <c r="C111" i="2" a="1"/>
  <c r="C111" i="2" s="1"/>
  <c r="D111" i="2" a="1"/>
  <c r="D111" i="2" s="1"/>
  <c r="E111" i="2" a="1"/>
  <c r="E111" i="2" s="1"/>
  <c r="A112" i="2" a="1"/>
  <c r="A112" i="2" s="1"/>
  <c r="B112" i="2" a="1"/>
  <c r="B112" i="2" s="1"/>
  <c r="C112" i="2" a="1"/>
  <c r="C112" i="2" s="1"/>
  <c r="D112" i="2" a="1"/>
  <c r="D112" i="2" s="1"/>
  <c r="E112" i="2" a="1"/>
  <c r="E112" i="2" s="1"/>
  <c r="A113" i="2" a="1"/>
  <c r="A113" i="2"/>
  <c r="B113" i="2" a="1"/>
  <c r="B113" i="2" s="1"/>
  <c r="C113" i="2" a="1"/>
  <c r="C113" i="2"/>
  <c r="D113" i="2" a="1"/>
  <c r="D113" i="2" s="1"/>
  <c r="E113" i="2" a="1"/>
  <c r="E113" i="2" s="1"/>
  <c r="A114" i="2" a="1"/>
  <c r="A114" i="2" s="1"/>
  <c r="B114" i="2" a="1"/>
  <c r="B114" i="2" s="1"/>
  <c r="C114" i="2" a="1"/>
  <c r="C114" i="2" s="1"/>
  <c r="D114" i="2" a="1"/>
  <c r="D114" i="2" s="1"/>
  <c r="E114" i="2" a="1"/>
  <c r="E114" i="2"/>
  <c r="A115" i="2" a="1"/>
  <c r="A115" i="2" s="1"/>
  <c r="B115" i="2" a="1"/>
  <c r="B115" i="2" s="1"/>
  <c r="C115" i="2" a="1"/>
  <c r="C115" i="2" s="1"/>
  <c r="D115" i="2" a="1"/>
  <c r="D115" i="2" s="1"/>
  <c r="E115" i="2" a="1"/>
  <c r="E115" i="2" s="1"/>
  <c r="A116" i="2" a="1"/>
  <c r="A116" i="2" s="1"/>
  <c r="B116" i="2" a="1"/>
  <c r="B116" i="2" s="1"/>
  <c r="C116" i="2" a="1"/>
  <c r="C116" i="2" s="1"/>
  <c r="D116" i="2" a="1"/>
  <c r="D116" i="2" s="1"/>
  <c r="E116" i="2" a="1"/>
  <c r="E116" i="2"/>
  <c r="A117" i="2" a="1"/>
  <c r="A117" i="2" s="1"/>
  <c r="B117" i="2" a="1"/>
  <c r="B117" i="2"/>
  <c r="C117" i="2" a="1"/>
  <c r="C117" i="2" s="1"/>
  <c r="D117" i="2" a="1"/>
  <c r="D117" i="2" s="1"/>
  <c r="E117" i="2" a="1"/>
  <c r="E117" i="2" s="1"/>
  <c r="A118" i="2" a="1"/>
  <c r="A118" i="2" s="1"/>
  <c r="B118" i="2" a="1"/>
  <c r="B118" i="2" s="1"/>
  <c r="C118" i="2" a="1"/>
  <c r="C118" i="2" s="1"/>
  <c r="D118" i="2" a="1"/>
  <c r="D118" i="2" s="1"/>
  <c r="E118" i="2" a="1"/>
  <c r="E118" i="2" s="1"/>
  <c r="A119" i="2" a="1"/>
  <c r="A119" i="2" s="1"/>
  <c r="B119" i="2" a="1"/>
  <c r="B119" i="2" s="1"/>
  <c r="C119" i="2" a="1"/>
  <c r="C119" i="2" s="1"/>
  <c r="D119" i="2" a="1"/>
  <c r="D119" i="2" s="1"/>
  <c r="E119" i="2" a="1"/>
  <c r="E119" i="2" s="1"/>
  <c r="A120" i="2" a="1"/>
  <c r="A120" i="2"/>
  <c r="B120" i="2" a="1"/>
  <c r="B120" i="2" s="1"/>
  <c r="C120" i="2" a="1"/>
  <c r="C120" i="2" s="1"/>
  <c r="D120" i="2" a="1"/>
  <c r="D120" i="2" s="1"/>
  <c r="E120" i="2" a="1"/>
  <c r="E120" i="2" s="1"/>
  <c r="A121" i="2" a="1"/>
  <c r="A121" i="2" s="1"/>
  <c r="B121" i="2" a="1"/>
  <c r="B121" i="2" s="1"/>
  <c r="C121" i="2" a="1"/>
  <c r="C121" i="2" s="1"/>
  <c r="D121" i="2" a="1"/>
  <c r="D121" i="2" s="1"/>
  <c r="E121" i="2" a="1"/>
  <c r="E121" i="2" s="1"/>
  <c r="A122" i="2" a="1"/>
  <c r="A122" i="2" s="1"/>
  <c r="B122" i="2" a="1"/>
  <c r="B122" i="2" s="1"/>
  <c r="C122" i="2" a="1"/>
  <c r="C122" i="2" s="1"/>
  <c r="D122" i="2" a="1"/>
  <c r="D122" i="2"/>
  <c r="E122" i="2" a="1"/>
  <c r="E122" i="2" s="1"/>
  <c r="A123" i="2" a="1"/>
  <c r="A123" i="2" s="1"/>
  <c r="B123" i="2" a="1"/>
  <c r="B123" i="2" s="1"/>
  <c r="C123" i="2" a="1"/>
  <c r="C123" i="2" s="1"/>
  <c r="D123" i="2" a="1"/>
  <c r="D123" i="2" s="1"/>
  <c r="E123" i="2" a="1"/>
  <c r="E123" i="2" s="1"/>
  <c r="A124" i="2" a="1"/>
  <c r="A124" i="2" s="1"/>
  <c r="B124" i="2" a="1"/>
  <c r="B124" i="2"/>
  <c r="C124" i="2" a="1"/>
  <c r="C124" i="2" s="1"/>
  <c r="D124" i="2" a="1"/>
  <c r="D124" i="2" s="1"/>
  <c r="E124" i="2" a="1"/>
  <c r="E124" i="2"/>
  <c r="A125" i="2" a="1"/>
  <c r="A125" i="2" s="1"/>
  <c r="B125" i="2" a="1"/>
  <c r="B125" i="2" s="1"/>
  <c r="C125" i="2" a="1"/>
  <c r="C125" i="2"/>
  <c r="D125" i="2" a="1"/>
  <c r="D125" i="2" s="1"/>
  <c r="E125" i="2" a="1"/>
  <c r="E125" i="2"/>
  <c r="A126" i="2" a="1"/>
  <c r="A126" i="2" s="1"/>
  <c r="B126" i="2" a="1"/>
  <c r="B126" i="2"/>
  <c r="C126" i="2" a="1"/>
  <c r="C126" i="2"/>
  <c r="D126" i="2" a="1"/>
  <c r="D126" i="2" s="1"/>
  <c r="E126" i="2" a="1"/>
  <c r="E126" i="2"/>
  <c r="A127" i="2" a="1"/>
  <c r="A127" i="2"/>
  <c r="B127" i="2" a="1"/>
  <c r="B127" i="2" s="1"/>
  <c r="C127" i="2" a="1"/>
  <c r="C127" i="2" s="1"/>
  <c r="D127" i="2" a="1"/>
  <c r="D127" i="2"/>
  <c r="E127" i="2" a="1"/>
  <c r="E127" i="2"/>
  <c r="A128" i="2" a="1"/>
  <c r="A128" i="2" s="1"/>
  <c r="B128" i="2" a="1"/>
  <c r="B128" i="2" s="1"/>
  <c r="C128" i="2" a="1"/>
  <c r="C128" i="2"/>
  <c r="D128" i="2" a="1"/>
  <c r="D128" i="2"/>
  <c r="E128" i="2" a="1"/>
  <c r="E128" i="2" s="1"/>
  <c r="A129" i="2" a="1"/>
  <c r="A129" i="2"/>
  <c r="B129" i="2" a="1"/>
  <c r="B129" i="2"/>
  <c r="C129" i="2" a="1"/>
  <c r="C129" i="2" s="1"/>
  <c r="D129" i="2" a="1"/>
  <c r="D129" i="2" s="1"/>
  <c r="E129" i="2" a="1"/>
  <c r="E129" i="2"/>
  <c r="A130" i="2" a="1"/>
  <c r="A130" i="2"/>
  <c r="B130" i="2" a="1"/>
  <c r="B130" i="2" s="1"/>
  <c r="C130" i="2" a="1"/>
  <c r="C130" i="2"/>
  <c r="D130" i="2" a="1"/>
  <c r="D130" i="2"/>
  <c r="E130" i="2" a="1"/>
  <c r="E130" i="2" s="1"/>
  <c r="A131" i="2" a="1"/>
  <c r="A131" i="2" s="1"/>
  <c r="B131" i="2" a="1"/>
  <c r="B131" i="2" s="1"/>
  <c r="C131" i="2" a="1"/>
  <c r="C131" i="2"/>
  <c r="D131" i="2" a="1"/>
  <c r="D131" i="2" s="1"/>
  <c r="E131" i="2" a="1"/>
  <c r="E131" i="2" s="1"/>
  <c r="A132" i="2" a="1"/>
  <c r="A132" i="2"/>
  <c r="B132" i="2" a="1"/>
  <c r="B132" i="2" s="1"/>
  <c r="C132" i="2" a="1"/>
  <c r="C132" i="2"/>
  <c r="D132" i="2" a="1"/>
  <c r="D132" i="2" s="1"/>
  <c r="E132" i="2" a="1"/>
  <c r="E132" i="2" s="1"/>
  <c r="A133" i="2" a="1"/>
  <c r="A133" i="2" s="1"/>
  <c r="B133" i="2" a="1"/>
  <c r="B133" i="2" s="1"/>
  <c r="C133" i="2" a="1"/>
  <c r="C133" i="2" s="1"/>
  <c r="D133" i="2" a="1"/>
  <c r="D133" i="2" s="1"/>
  <c r="E133" i="2" a="1"/>
  <c r="E133" i="2" s="1"/>
  <c r="A134" i="2" a="1"/>
  <c r="A134" i="2"/>
  <c r="B134" i="2" a="1"/>
  <c r="B134" i="2" s="1"/>
  <c r="C134" i="2" a="1"/>
  <c r="C134" i="2" s="1"/>
  <c r="D134" i="2" a="1"/>
  <c r="D134" i="2"/>
  <c r="E134" i="2" a="1"/>
  <c r="E134" i="2" s="1"/>
  <c r="A135" i="2" a="1"/>
  <c r="A135" i="2" s="1"/>
  <c r="B135" i="2" a="1"/>
  <c r="B135" i="2"/>
  <c r="C135" i="2" a="1"/>
  <c r="C135" i="2" s="1"/>
  <c r="D135" i="2" a="1"/>
  <c r="D135" i="2" s="1"/>
  <c r="E135" i="2" a="1"/>
  <c r="E135" i="2" s="1"/>
  <c r="A136" i="2" a="1"/>
  <c r="A136" i="2"/>
  <c r="B136" i="2" a="1"/>
  <c r="B136" i="2"/>
  <c r="C136" i="2" a="1"/>
  <c r="C136" i="2" s="1"/>
  <c r="D136" i="2" a="1"/>
  <c r="D136" i="2"/>
  <c r="E136" i="2" a="1"/>
  <c r="E136" i="2"/>
  <c r="A137" i="2" a="1"/>
  <c r="A137" i="2" s="1"/>
  <c r="B137" i="2" a="1"/>
  <c r="B137" i="2" s="1"/>
  <c r="C137" i="2" a="1"/>
  <c r="C137" i="2" s="1"/>
  <c r="D137" i="2" a="1"/>
  <c r="D137" i="2"/>
  <c r="E137" i="2" a="1"/>
  <c r="E137" i="2" s="1"/>
  <c r="A138" i="2" a="1"/>
  <c r="A138" i="2"/>
  <c r="B138" i="2" a="1"/>
  <c r="B138" i="2"/>
  <c r="C138" i="2" a="1"/>
  <c r="C138" i="2"/>
  <c r="D138" i="2" a="1"/>
  <c r="D138" i="2" s="1"/>
  <c r="E138" i="2" a="1"/>
  <c r="E138" i="2"/>
  <c r="A139" i="2" a="1"/>
  <c r="A139" i="2" s="1"/>
  <c r="B139" i="2" a="1"/>
  <c r="B139" i="2" s="1"/>
  <c r="C139" i="2" a="1"/>
  <c r="C139" i="2" s="1"/>
  <c r="D139" i="2" a="1"/>
  <c r="D139" i="2" s="1"/>
  <c r="E139" i="2" a="1"/>
  <c r="E139" i="2"/>
  <c r="A140" i="2" a="1"/>
  <c r="A140" i="2" s="1"/>
  <c r="B140" i="2" a="1"/>
  <c r="B140" i="2" s="1"/>
  <c r="C140" i="2" a="1"/>
  <c r="C140" i="2"/>
  <c r="D140" i="2" a="1"/>
  <c r="D140" i="2" s="1"/>
  <c r="E140" i="2" a="1"/>
  <c r="E140" i="2" s="1"/>
  <c r="A141" i="2" a="1"/>
  <c r="A141" i="2" s="1"/>
  <c r="B141" i="2" a="1"/>
  <c r="B141" i="2"/>
  <c r="C141" i="2" a="1"/>
  <c r="C141" i="2" s="1"/>
  <c r="D141" i="2" a="1"/>
  <c r="D141" i="2" s="1"/>
  <c r="E141" i="2" a="1"/>
  <c r="E141" i="2"/>
  <c r="A142" i="2" a="1"/>
  <c r="A142" i="2" s="1"/>
  <c r="B142" i="2" a="1"/>
  <c r="B142" i="2" s="1"/>
  <c r="C142" i="2" a="1"/>
  <c r="C142" i="2" s="1"/>
  <c r="D142" i="2" a="1"/>
  <c r="D142" i="2" s="1"/>
  <c r="E142" i="2" a="1"/>
  <c r="E142" i="2" s="1"/>
  <c r="A143" i="2" a="1"/>
  <c r="A143" i="2" s="1"/>
  <c r="B143" i="2" a="1"/>
  <c r="B143" i="2" s="1"/>
  <c r="C143" i="2" a="1"/>
  <c r="C143" i="2" s="1"/>
  <c r="D143" i="2" a="1"/>
  <c r="D143" i="2" s="1"/>
  <c r="E143" i="2" a="1"/>
  <c r="E143" i="2" s="1"/>
  <c r="A144" i="2" a="1"/>
  <c r="A144" i="2" s="1"/>
  <c r="B144" i="2" a="1"/>
  <c r="B144" i="2" s="1"/>
  <c r="C144" i="2" a="1"/>
  <c r="C144" i="2"/>
  <c r="D144" i="2" a="1"/>
  <c r="D144" i="2" s="1"/>
  <c r="E144" i="2" a="1"/>
  <c r="E144" i="2" s="1"/>
  <c r="A145" i="2" a="1"/>
  <c r="A145" i="2"/>
  <c r="B145" i="2" a="1"/>
  <c r="B145" i="2" s="1"/>
  <c r="C145" i="2" a="1"/>
  <c r="C145" i="2"/>
  <c r="D145" i="2" a="1"/>
  <c r="D145" i="2" s="1"/>
  <c r="E145" i="2" a="1"/>
  <c r="E145" i="2"/>
  <c r="A146" i="2" a="1"/>
  <c r="A146" i="2"/>
  <c r="B146" i="2" a="1"/>
  <c r="B146" i="2" s="1"/>
  <c r="C146" i="2" a="1"/>
  <c r="C146" i="2"/>
  <c r="D146" i="2" a="1"/>
  <c r="D146" i="2" s="1"/>
  <c r="E146" i="2" a="1"/>
  <c r="E146" i="2" s="1"/>
  <c r="A147" i="2" a="1"/>
  <c r="A147" i="2" s="1"/>
  <c r="B147" i="2" a="1"/>
  <c r="B147" i="2"/>
  <c r="C147" i="2" a="1"/>
  <c r="C147" i="2"/>
  <c r="D147" i="2" a="1"/>
  <c r="D147" i="2" s="1"/>
  <c r="E147" i="2" a="1"/>
  <c r="E147" i="2" s="1"/>
  <c r="A148" i="2" a="1"/>
  <c r="A148" i="2"/>
  <c r="B148" i="2" a="1"/>
  <c r="B148" i="2"/>
  <c r="C148" i="2" a="1"/>
  <c r="C148" i="2" s="1"/>
  <c r="D148" i="2" a="1"/>
  <c r="D148" i="2"/>
  <c r="E148" i="2" a="1"/>
  <c r="E148" i="2"/>
  <c r="A149" i="2" a="1"/>
  <c r="A149" i="2" s="1"/>
  <c r="B149" i="2" a="1"/>
  <c r="B149" i="2" s="1"/>
  <c r="C149" i="2" a="1"/>
  <c r="C149" i="2"/>
  <c r="D149" i="2" a="1"/>
  <c r="D149" i="2"/>
  <c r="E149" i="2" a="1"/>
  <c r="E149" i="2" s="1"/>
  <c r="A150" i="2" a="1"/>
  <c r="A150" i="2"/>
  <c r="B150" i="2" a="1"/>
  <c r="B150" i="2"/>
  <c r="C150" i="2" a="1"/>
  <c r="C150" i="2" s="1"/>
  <c r="D150" i="2" a="1"/>
  <c r="D150" i="2" s="1"/>
  <c r="E150" i="2" a="1"/>
  <c r="E150" i="2" s="1"/>
  <c r="A151" i="2" a="1"/>
  <c r="A151" i="2"/>
  <c r="B151" i="2" a="1"/>
  <c r="B151" i="2" s="1"/>
  <c r="C151" i="2" a="1"/>
  <c r="C151" i="2" s="1"/>
  <c r="D151" i="2" a="1"/>
  <c r="D151" i="2" s="1"/>
  <c r="E151" i="2" a="1"/>
  <c r="E151" i="2" s="1"/>
  <c r="A152" i="2" a="1"/>
  <c r="A152" i="2" s="1"/>
  <c r="B152" i="2" a="1"/>
  <c r="B152" i="2" s="1"/>
  <c r="C152" i="2" a="1"/>
  <c r="C152" i="2" s="1"/>
  <c r="D152" i="2" a="1"/>
  <c r="D152" i="2" s="1"/>
  <c r="E152" i="2" a="1"/>
  <c r="E152" i="2" s="1"/>
  <c r="A153" i="2" a="1"/>
  <c r="A153" i="2"/>
  <c r="B153" i="2" a="1"/>
  <c r="B153" i="2" s="1"/>
  <c r="C153" i="2" a="1"/>
  <c r="C153" i="2" s="1"/>
  <c r="D153" i="2" a="1"/>
  <c r="D153" i="2" s="1"/>
  <c r="E153" i="2" a="1"/>
  <c r="E153" i="2" s="1"/>
  <c r="A154" i="2" a="1"/>
  <c r="A154" i="2" s="1"/>
  <c r="B154" i="2" a="1"/>
  <c r="B154" i="2"/>
  <c r="C154" i="2" a="1"/>
  <c r="C154" i="2" s="1"/>
  <c r="D154" i="2" a="1"/>
  <c r="D154" i="2" s="1"/>
  <c r="E154" i="2" a="1"/>
  <c r="E154" i="2"/>
  <c r="A155" i="2" a="1"/>
  <c r="A155" i="2" s="1"/>
  <c r="B155" i="2" a="1"/>
  <c r="B155" i="2" s="1"/>
  <c r="C155" i="2" a="1"/>
  <c r="C155" i="2" s="1"/>
  <c r="D155" i="2" a="1"/>
  <c r="D155" i="2"/>
  <c r="E155" i="2" a="1"/>
  <c r="E155" i="2"/>
  <c r="A156" i="2" a="1"/>
  <c r="A156" i="2" s="1"/>
  <c r="B156" i="2" a="1"/>
  <c r="B156" i="2"/>
  <c r="C156" i="2" a="1"/>
  <c r="C156" i="2" s="1"/>
  <c r="D156" i="2" a="1"/>
  <c r="D156" i="2" s="1"/>
  <c r="E156" i="2" a="1"/>
  <c r="E156" i="2" s="1"/>
  <c r="A157" i="2" a="1"/>
  <c r="A157" i="2" s="1"/>
  <c r="B157" i="2" a="1"/>
  <c r="B157" i="2"/>
  <c r="C157" i="2" a="1"/>
  <c r="C157" i="2" s="1"/>
  <c r="D157" i="2" a="1"/>
  <c r="D157" i="2" s="1"/>
  <c r="E157" i="2" a="1"/>
  <c r="E157" i="2"/>
  <c r="A158" i="2" a="1"/>
  <c r="A158" i="2"/>
  <c r="B158" i="2" a="1"/>
  <c r="B158" i="2" s="1"/>
  <c r="C158" i="2" a="1"/>
  <c r="C158" i="2"/>
  <c r="D158" i="2" a="1"/>
  <c r="D158" i="2" s="1"/>
  <c r="E158" i="2" a="1"/>
  <c r="E158" i="2" s="1"/>
  <c r="A159" i="2" a="1"/>
  <c r="A159" i="2" s="1"/>
  <c r="B159" i="2" a="1"/>
  <c r="B159" i="2"/>
  <c r="C159" i="2" a="1"/>
  <c r="C159" i="2"/>
  <c r="D159" i="2" a="1"/>
  <c r="D159" i="2"/>
  <c r="E159" i="2" a="1"/>
  <c r="E159" i="2" s="1"/>
  <c r="A160" i="2" a="1"/>
  <c r="A160" i="2"/>
  <c r="B160" i="2" a="1"/>
  <c r="B160" i="2" s="1"/>
  <c r="C160" i="2" a="1"/>
  <c r="C160" i="2"/>
  <c r="D160" i="2" a="1"/>
  <c r="D160" i="2"/>
  <c r="E160" i="2" a="1"/>
  <c r="E160" i="2" s="1"/>
  <c r="A161" i="2" a="1"/>
  <c r="A161" i="2" s="1"/>
  <c r="B161" i="2" a="1"/>
  <c r="B161" i="2" s="1"/>
  <c r="C161" i="2" a="1"/>
  <c r="C161" i="2"/>
  <c r="D161" i="2" a="1"/>
  <c r="D161" i="2"/>
  <c r="E161" i="2" a="1"/>
  <c r="E161" i="2"/>
  <c r="A162" i="2" a="1"/>
  <c r="A162" i="2"/>
  <c r="B162" i="2" a="1"/>
  <c r="B162" i="2" s="1"/>
  <c r="C162" i="2" a="1"/>
  <c r="C162" i="2"/>
  <c r="D162" i="2" a="1"/>
  <c r="D162" i="2"/>
  <c r="E162" i="2" a="1"/>
  <c r="E162" i="2"/>
  <c r="A163" i="2" a="1"/>
  <c r="A163" i="2" s="1"/>
  <c r="B163" i="2" a="1"/>
  <c r="B163" i="2"/>
  <c r="C163" i="2" a="1"/>
  <c r="C163" i="2"/>
  <c r="D163" i="2" a="1"/>
  <c r="D163" i="2" s="1"/>
  <c r="E163" i="2" a="1"/>
  <c r="E163" i="2"/>
  <c r="A164" i="2" a="1"/>
  <c r="A164" i="2" s="1"/>
  <c r="B164" i="2" a="1"/>
  <c r="B164" i="2"/>
  <c r="C164" i="2" a="1"/>
  <c r="C164" i="2"/>
  <c r="D164" i="2" a="1"/>
  <c r="D164" i="2"/>
  <c r="E164" i="2" a="1"/>
  <c r="E164" i="2"/>
  <c r="A165" i="2" a="1"/>
  <c r="A165" i="2" s="1"/>
  <c r="B165" i="2" a="1"/>
  <c r="B165" i="2" s="1"/>
  <c r="C165" i="2" a="1"/>
  <c r="C165" i="2"/>
  <c r="D165" i="2" a="1"/>
  <c r="D165" i="2"/>
  <c r="E165" i="2" a="1"/>
  <c r="E165" i="2"/>
  <c r="A166" i="2" a="1"/>
  <c r="A166" i="2"/>
  <c r="B166" i="2" a="1"/>
  <c r="B166" i="2"/>
  <c r="C166" i="2" a="1"/>
  <c r="C166" i="2" s="1"/>
  <c r="D166" i="2" a="1"/>
  <c r="D166" i="2"/>
  <c r="E166" i="2" a="1"/>
  <c r="E166" i="2"/>
  <c r="A167" i="2" a="1"/>
  <c r="A167" i="2"/>
  <c r="B167" i="2" a="1"/>
  <c r="B167" i="2" s="1"/>
  <c r="C167" i="2" a="1"/>
  <c r="C167" i="2"/>
  <c r="D167" i="2" a="1"/>
  <c r="D167" i="2"/>
  <c r="E167" i="2" a="1"/>
  <c r="E167" i="2" s="1"/>
  <c r="A168" i="2" a="1"/>
  <c r="A168" i="2" s="1"/>
  <c r="B168" i="2" a="1"/>
  <c r="B168" i="2" s="1"/>
  <c r="C168" i="2" a="1"/>
  <c r="C168" i="2"/>
  <c r="D168" i="2" a="1"/>
  <c r="D168" i="2"/>
  <c r="E168" i="2" a="1"/>
  <c r="E168" i="2"/>
  <c r="A169" i="2" a="1"/>
  <c r="A169" i="2"/>
  <c r="B169" i="2" a="1"/>
  <c r="B169" i="2" s="1"/>
  <c r="C169" i="2" a="1"/>
  <c r="C169" i="2"/>
  <c r="D169" i="2" a="1"/>
  <c r="D169" i="2"/>
  <c r="E169" i="2" a="1"/>
  <c r="E169" i="2"/>
  <c r="A170" i="2" a="1"/>
  <c r="A170" i="2" s="1"/>
  <c r="B170" i="2" a="1"/>
  <c r="B170" i="2"/>
  <c r="C170" i="2" a="1"/>
  <c r="C170" i="2"/>
  <c r="D170" i="2" a="1"/>
  <c r="D170" i="2" s="1"/>
  <c r="E170" i="2" a="1"/>
  <c r="E170" i="2"/>
  <c r="A171" i="2" a="1"/>
  <c r="A171" i="2" s="1"/>
  <c r="B171" i="2" a="1"/>
  <c r="B171" i="2"/>
  <c r="C171" i="2" a="1"/>
  <c r="C171" i="2" s="1"/>
  <c r="D171" i="2" a="1"/>
  <c r="D171" i="2"/>
  <c r="E171" i="2" a="1"/>
  <c r="E171" i="2"/>
  <c r="A172" i="2" a="1"/>
  <c r="A172" i="2" s="1"/>
  <c r="B172" i="2" a="1"/>
  <c r="B172" i="2"/>
  <c r="C172" i="2" a="1"/>
  <c r="C172" i="2"/>
  <c r="D172" i="2" a="1"/>
  <c r="D172" i="2"/>
  <c r="E172" i="2" a="1"/>
  <c r="E172" i="2"/>
  <c r="A173" i="2" a="1"/>
  <c r="A173" i="2"/>
  <c r="B173" i="2" a="1"/>
  <c r="B173" i="2"/>
  <c r="C173" i="2" a="1"/>
  <c r="C173" i="2" s="1"/>
  <c r="D173" i="2" a="1"/>
  <c r="D173" i="2" s="1"/>
  <c r="E173" i="2" a="1"/>
  <c r="E173" i="2" s="1"/>
  <c r="A174" i="2" a="1"/>
  <c r="A174" i="2"/>
  <c r="B174" i="2" a="1"/>
  <c r="B174" i="2"/>
  <c r="C174" i="2" a="1"/>
  <c r="C174" i="2"/>
  <c r="D174" i="2" a="1"/>
  <c r="D174" i="2"/>
  <c r="E174" i="2" a="1"/>
  <c r="E174" i="2" s="1"/>
  <c r="A175" i="2" a="1"/>
  <c r="A175" i="2"/>
  <c r="B175" i="2" a="1"/>
  <c r="B175" i="2"/>
  <c r="C175" i="2" a="1"/>
  <c r="C175" i="2"/>
  <c r="D175" i="2" a="1"/>
  <c r="D175" i="2"/>
  <c r="E175" i="2" a="1"/>
  <c r="E175" i="2"/>
  <c r="A176" i="2" a="1"/>
  <c r="A176" i="2"/>
  <c r="B176" i="2" a="1"/>
  <c r="B176" i="2" s="1"/>
  <c r="C176" i="2" a="1"/>
  <c r="C176" i="2"/>
  <c r="D176" i="2" a="1"/>
  <c r="D176" i="2" s="1"/>
  <c r="E176" i="2" a="1"/>
  <c r="E176" i="2"/>
  <c r="A177" i="2" a="1"/>
  <c r="A177" i="2" s="1"/>
  <c r="B177" i="2" a="1"/>
  <c r="B177" i="2"/>
  <c r="C177" i="2" a="1"/>
  <c r="C177" i="2"/>
  <c r="D177" i="2" a="1"/>
  <c r="D177" i="2" s="1"/>
  <c r="E177" i="2" a="1"/>
  <c r="E177" i="2" s="1"/>
  <c r="A178" i="2" a="1"/>
  <c r="A178" i="2"/>
  <c r="B178" i="2" a="1"/>
  <c r="B178" i="2"/>
  <c r="C178" i="2" a="1"/>
  <c r="C178" i="2" s="1"/>
  <c r="D178" i="2" a="1"/>
  <c r="D178" i="2"/>
  <c r="E178" i="2" a="1"/>
  <c r="E178" i="2"/>
  <c r="A179" i="2" a="1"/>
  <c r="A179" i="2" s="1"/>
  <c r="B179" i="2" a="1"/>
  <c r="B179" i="2"/>
  <c r="C179" i="2" a="1"/>
  <c r="C179" i="2"/>
  <c r="D179" i="2" a="1"/>
  <c r="D179" i="2"/>
  <c r="E179" i="2" a="1"/>
  <c r="E179" i="2"/>
  <c r="A180" i="2" a="1"/>
  <c r="A180" i="2"/>
  <c r="B180" i="2" a="1"/>
  <c r="B180" i="2"/>
  <c r="C180" i="2" a="1"/>
  <c r="C180" i="2" s="1"/>
  <c r="D180" i="2" a="1"/>
  <c r="D180" i="2" s="1"/>
  <c r="E180" i="2" a="1"/>
  <c r="E180" i="2" s="1"/>
  <c r="A181" i="2" a="1"/>
  <c r="A181" i="2"/>
  <c r="B181" i="2" a="1"/>
  <c r="B181" i="2"/>
  <c r="C181" i="2" a="1"/>
  <c r="C181" i="2"/>
  <c r="D181" i="2" a="1"/>
  <c r="D181" i="2"/>
  <c r="E181" i="2" a="1"/>
  <c r="E181" i="2" s="1"/>
  <c r="A182" i="2" a="1"/>
  <c r="A182" i="2"/>
  <c r="B182" i="2" a="1"/>
  <c r="B182" i="2"/>
  <c r="C182" i="2" a="1"/>
  <c r="C182" i="2"/>
  <c r="D182" i="2" a="1"/>
  <c r="D182" i="2" s="1"/>
  <c r="E182" i="2" a="1"/>
  <c r="E182" i="2"/>
  <c r="A183" i="2" a="1"/>
  <c r="A183" i="2"/>
  <c r="B183" i="2" a="1"/>
  <c r="B183" i="2" s="1"/>
  <c r="C183" i="2" a="1"/>
  <c r="C183" i="2"/>
  <c r="D183" i="2" a="1"/>
  <c r="D183" i="2" s="1"/>
  <c r="E183" i="2" a="1"/>
  <c r="E183" i="2"/>
  <c r="A184" i="2" a="1"/>
  <c r="A184" i="2"/>
  <c r="B184" i="2" a="1"/>
  <c r="B184" i="2"/>
  <c r="C184" i="2" a="1"/>
  <c r="C184" i="2"/>
  <c r="D184" i="2" a="1"/>
  <c r="D184" i="2" s="1"/>
  <c r="E184" i="2" a="1"/>
  <c r="E184" i="2"/>
  <c r="A185" i="2" a="1"/>
  <c r="A185" i="2"/>
  <c r="B185" i="2" a="1"/>
  <c r="B185" i="2"/>
  <c r="C185" i="2" a="1"/>
  <c r="C185" i="2"/>
  <c r="D185" i="2" a="1"/>
  <c r="D185" i="2"/>
  <c r="E185" i="2" a="1"/>
  <c r="E185" i="2"/>
  <c r="A186" i="2" a="1"/>
  <c r="A186" i="2" s="1"/>
  <c r="B186" i="2" a="1"/>
  <c r="B186" i="2"/>
  <c r="C186" i="2" a="1"/>
  <c r="C186" i="2" s="1"/>
  <c r="D186" i="2" a="1"/>
  <c r="D186" i="2"/>
  <c r="E186" i="2" a="1"/>
  <c r="E186" i="2" s="1"/>
  <c r="A187" i="2" a="1"/>
  <c r="A187" i="2"/>
  <c r="B187" i="2" a="1"/>
  <c r="B187" i="2"/>
  <c r="C187" i="2" a="1"/>
  <c r="C187" i="2" s="1"/>
  <c r="D187" i="2" a="1"/>
  <c r="D187" i="2" s="1"/>
  <c r="E187" i="2" a="1"/>
  <c r="E187" i="2" s="1"/>
  <c r="A188" i="2" a="1"/>
  <c r="A188" i="2"/>
  <c r="B188" i="2" a="1"/>
  <c r="B188" i="2"/>
  <c r="C188" i="2" a="1"/>
  <c r="C188" i="2"/>
  <c r="D188" i="2" a="1"/>
  <c r="D188" i="2"/>
  <c r="E188" i="2" a="1"/>
  <c r="E188" i="2" s="1"/>
  <c r="A189" i="2" a="1"/>
  <c r="A189" i="2"/>
  <c r="B189" i="2" a="1"/>
  <c r="B189" i="2"/>
  <c r="C189" i="2" a="1"/>
  <c r="C189" i="2"/>
  <c r="D189" i="2" a="1"/>
  <c r="D189" i="2" s="1"/>
  <c r="E189" i="2" a="1"/>
  <c r="E189" i="2"/>
  <c r="A190" i="2" a="1"/>
  <c r="A190" i="2"/>
  <c r="B190" i="2" a="1"/>
  <c r="B190" i="2" s="1"/>
  <c r="C190" i="2" a="1"/>
  <c r="C190" i="2" s="1"/>
  <c r="D190" i="2" a="1"/>
  <c r="D190" i="2" s="1"/>
  <c r="E190" i="2" a="1"/>
  <c r="E190" i="2" s="1"/>
  <c r="A191" i="2" a="1"/>
  <c r="A191" i="2" s="1"/>
  <c r="B191" i="2" a="1"/>
  <c r="B191" i="2"/>
  <c r="C191" i="2" a="1"/>
  <c r="C191" i="2"/>
  <c r="D191" i="2" a="1"/>
  <c r="D191" i="2" s="1"/>
  <c r="E191" i="2" a="1"/>
  <c r="E191" i="2"/>
  <c r="A192" i="2" a="1"/>
  <c r="A192" i="2"/>
  <c r="B192" i="2" a="1"/>
  <c r="B192" i="2"/>
  <c r="C192" i="2" a="1"/>
  <c r="C192" i="2"/>
  <c r="D192" i="2" a="1"/>
  <c r="D192" i="2"/>
  <c r="E192" i="2" a="1"/>
  <c r="E192" i="2"/>
  <c r="A193" i="2" a="1"/>
  <c r="A193" i="2" s="1"/>
  <c r="B193" i="2" a="1"/>
  <c r="B193" i="2" s="1"/>
  <c r="C193" i="2" a="1"/>
  <c r="C193" i="2" s="1"/>
  <c r="D193" i="2" a="1"/>
  <c r="D193" i="2" s="1"/>
  <c r="E193" i="2" a="1"/>
  <c r="E193" i="2" s="1"/>
  <c r="A194" i="2" a="1"/>
  <c r="A194" i="2"/>
  <c r="B194" i="2" a="1"/>
  <c r="B194" i="2"/>
  <c r="C194" i="2" a="1"/>
  <c r="C194" i="2" s="1"/>
  <c r="D194" i="2" a="1"/>
  <c r="D194" i="2"/>
  <c r="E194" i="2" a="1"/>
  <c r="E194" i="2"/>
  <c r="A195" i="2" a="1"/>
  <c r="A195" i="2" s="1"/>
  <c r="B195" i="2" a="1"/>
  <c r="B195" i="2"/>
  <c r="C195" i="2" a="1"/>
  <c r="C195" i="2"/>
  <c r="D195" i="2" a="1"/>
  <c r="D195" i="2"/>
  <c r="E195" i="2" a="1"/>
  <c r="E195" i="2" s="1"/>
  <c r="A196" i="2" a="1"/>
  <c r="A196" i="2"/>
  <c r="B196" i="2" a="1"/>
  <c r="B196" i="2" s="1"/>
  <c r="C196" i="2" a="1"/>
  <c r="C196" i="2" s="1"/>
  <c r="D196" i="2" a="1"/>
  <c r="D196" i="2" s="1"/>
  <c r="E196" i="2" a="1"/>
  <c r="E196" i="2"/>
  <c r="A197" i="2" a="1"/>
  <c r="A197" i="2"/>
  <c r="B197" i="2" a="1"/>
  <c r="B197" i="2" s="1"/>
  <c r="C197" i="2" a="1"/>
  <c r="C197" i="2" s="1"/>
  <c r="D197" i="2" a="1"/>
  <c r="D197" i="2"/>
  <c r="E197" i="2" a="1"/>
  <c r="E197" i="2"/>
  <c r="A198" i="2" a="1"/>
  <c r="A198" i="2"/>
  <c r="B198" i="2" a="1"/>
  <c r="B198" i="2"/>
  <c r="C198" i="2" a="1"/>
  <c r="C198" i="2"/>
  <c r="D198" i="2" a="1"/>
  <c r="D198" i="2" s="1"/>
  <c r="E198" i="2" a="1"/>
  <c r="E198" i="2"/>
  <c r="A199" i="2" a="1"/>
  <c r="A199" i="2"/>
  <c r="B199" i="2" a="1"/>
  <c r="B199" i="2" s="1"/>
  <c r="C199" i="2" a="1"/>
  <c r="C199" i="2"/>
  <c r="D199" i="2" a="1"/>
  <c r="D199" i="2"/>
  <c r="E199" i="2" a="1"/>
  <c r="E199" i="2"/>
  <c r="A200" i="2" a="1"/>
  <c r="A200" i="2" s="1"/>
  <c r="B200" i="2" a="1"/>
  <c r="B200" i="2" s="1"/>
  <c r="C200" i="2" a="1"/>
  <c r="C200" i="2" s="1"/>
  <c r="D200" i="2" a="1"/>
  <c r="D200" i="2"/>
  <c r="E200" i="2" a="1"/>
  <c r="E200" i="2"/>
  <c r="A201" i="2" a="1"/>
  <c r="A201" i="2"/>
  <c r="B201" i="2" a="1"/>
  <c r="B201" i="2"/>
  <c r="C201" i="2" a="1"/>
  <c r="C201" i="2" s="1"/>
  <c r="D201" i="2" a="1"/>
  <c r="D201" i="2"/>
  <c r="E201" i="2" a="1"/>
  <c r="E201" i="2"/>
  <c r="A202" i="2" a="1"/>
  <c r="A202" i="2"/>
  <c r="B202" i="2" a="1"/>
  <c r="B202" i="2" s="1"/>
  <c r="C202" i="2" a="1"/>
  <c r="C202" i="2"/>
  <c r="D202" i="2" a="1"/>
  <c r="D202" i="2"/>
  <c r="E202" i="2" a="1"/>
  <c r="E202" i="2" s="1"/>
  <c r="A203" i="2" a="1"/>
  <c r="A203" i="2"/>
  <c r="B203" i="2" a="1"/>
  <c r="B203" i="2" s="1"/>
  <c r="C203" i="2" a="1"/>
  <c r="C203" i="2" s="1"/>
  <c r="D203" i="2" a="1"/>
  <c r="D203" i="2"/>
  <c r="E203" i="2" a="1"/>
  <c r="E203" i="2"/>
  <c r="A204" i="2" a="1"/>
  <c r="A204" i="2"/>
  <c r="B204" i="2" a="1"/>
  <c r="B204" i="2" s="1"/>
  <c r="C204" i="2" a="1"/>
  <c r="C204" i="2"/>
  <c r="D204" i="2" a="1"/>
  <c r="D204" i="2" s="1"/>
  <c r="E204" i="2" a="1"/>
  <c r="E204" i="2"/>
  <c r="A205" i="2" a="1"/>
  <c r="A205" i="2"/>
  <c r="B205" i="2" a="1"/>
  <c r="B205" i="2"/>
  <c r="C205" i="2" a="1"/>
  <c r="C205" i="2"/>
  <c r="D205" i="2" a="1"/>
  <c r="D205" i="2" s="1"/>
  <c r="E205" i="2" a="1"/>
  <c r="E205" i="2"/>
  <c r="A206" i="2" a="1"/>
  <c r="A206" i="2"/>
  <c r="B206" i="2" a="1"/>
  <c r="B206" i="2" s="1"/>
  <c r="C206" i="2" a="1"/>
  <c r="C206" i="2" s="1"/>
  <c r="D206" i="2" a="1"/>
  <c r="D206" i="2"/>
  <c r="E206" i="2" a="1"/>
  <c r="E206" i="2"/>
  <c r="A207" i="2" a="1"/>
  <c r="A207" i="2" s="1"/>
  <c r="B207" i="2" a="1"/>
  <c r="B207" i="2" s="1"/>
  <c r="C207" i="2" a="1"/>
  <c r="C207" i="2" s="1"/>
  <c r="D207" i="2" a="1"/>
  <c r="D207" i="2" s="1"/>
  <c r="E207" i="2" a="1"/>
  <c r="E207" i="2"/>
  <c r="A208" i="2" a="1"/>
  <c r="A208" i="2"/>
  <c r="B208" i="2" a="1"/>
  <c r="B208" i="2"/>
  <c r="C208" i="2" a="1"/>
  <c r="C208" i="2" s="1"/>
  <c r="D208" i="2" a="1"/>
  <c r="D208" i="2"/>
  <c r="E208" i="2" a="1"/>
  <c r="E208" i="2"/>
  <c r="A209" i="2" a="1"/>
  <c r="A209" i="2"/>
  <c r="B209" i="2" a="1"/>
  <c r="B209" i="2" s="1"/>
  <c r="C209" i="2" a="1"/>
  <c r="C209" i="2"/>
  <c r="D209" i="2" a="1"/>
  <c r="D209" i="2"/>
  <c r="E209" i="2" a="1"/>
  <c r="E209" i="2" s="1"/>
  <c r="A210" i="2" a="1"/>
  <c r="A210" i="2"/>
  <c r="B210" i="2" a="1"/>
  <c r="B210" i="2" s="1"/>
  <c r="C210" i="2" a="1"/>
  <c r="C210" i="2" s="1"/>
  <c r="D210" i="2" a="1"/>
  <c r="D210" i="2" s="1"/>
  <c r="E210" i="2" a="1"/>
  <c r="E210" i="2"/>
  <c r="A211" i="2" a="1"/>
  <c r="A211" i="2"/>
  <c r="B211" i="2" a="1"/>
  <c r="B211" i="2" s="1"/>
  <c r="C211" i="2" a="1"/>
  <c r="C211" i="2"/>
  <c r="D211" i="2" a="1"/>
  <c r="D211" i="2"/>
  <c r="E211" i="2" a="1"/>
  <c r="E211" i="2"/>
  <c r="A212" i="2" a="1"/>
  <c r="A212" i="2"/>
  <c r="B212" i="2" a="1"/>
  <c r="B212" i="2"/>
  <c r="C212" i="2" a="1"/>
  <c r="C212" i="2" s="1"/>
  <c r="D212" i="2" a="1"/>
  <c r="D212" i="2" s="1"/>
  <c r="E212" i="2" a="1"/>
  <c r="E212" i="2" s="1"/>
  <c r="A213" i="2" a="1"/>
  <c r="A213" i="2"/>
  <c r="B213" i="2" a="1"/>
  <c r="B213" i="2" s="1"/>
  <c r="C213" i="2" a="1"/>
  <c r="C213" i="2"/>
  <c r="D213" i="2" a="1"/>
  <c r="D213" i="2"/>
  <c r="E213" i="2" a="1"/>
  <c r="E213" i="2"/>
  <c r="A214" i="2" a="1"/>
  <c r="A214" i="2" s="1"/>
  <c r="B214" i="2" a="1"/>
  <c r="B214" i="2"/>
  <c r="C214" i="2" a="1"/>
  <c r="C214" i="2"/>
  <c r="D214" i="2" a="1"/>
  <c r="D214" i="2"/>
  <c r="E214" i="2" a="1"/>
  <c r="E214" i="2"/>
  <c r="A215" i="2" a="1"/>
  <c r="A215" i="2"/>
  <c r="B215" i="2" a="1"/>
  <c r="B215" i="2" s="1"/>
  <c r="C215" i="2" a="1"/>
  <c r="C215" i="2" s="1"/>
  <c r="D215" i="2" a="1"/>
  <c r="D215" i="2"/>
  <c r="E215" i="2" a="1"/>
  <c r="E215" i="2" s="1"/>
  <c r="A216" i="2" a="1"/>
  <c r="A216" i="2" s="1"/>
  <c r="B216" i="2" a="1"/>
  <c r="B216" i="2" s="1"/>
  <c r="C216" i="2" a="1"/>
  <c r="C216" i="2"/>
  <c r="D216" i="2" a="1"/>
  <c r="D216" i="2"/>
  <c r="E216" i="2" a="1"/>
  <c r="E216" i="2" s="1"/>
  <c r="A217" i="2" a="1"/>
  <c r="A217" i="2" s="1"/>
  <c r="B217" i="2" a="1"/>
  <c r="B217" i="2"/>
  <c r="C217" i="2" a="1"/>
  <c r="C217" i="2"/>
  <c r="D217" i="2" a="1"/>
  <c r="D217" i="2" s="1"/>
  <c r="E217" i="2" a="1"/>
  <c r="E217" i="2"/>
  <c r="A218" i="2" a="1"/>
  <c r="A218" i="2"/>
  <c r="B218" i="2" a="1"/>
  <c r="B218" i="2" s="1"/>
  <c r="C218" i="2" a="1"/>
  <c r="C218" i="2"/>
  <c r="D218" i="2" a="1"/>
  <c r="D218" i="2"/>
  <c r="E218" i="2" a="1"/>
  <c r="E218" i="2" s="1"/>
  <c r="A219" i="2" a="1"/>
  <c r="A219" i="2" s="1"/>
  <c r="B219" i="2" a="1"/>
  <c r="B219" i="2"/>
  <c r="C219" i="2" a="1"/>
  <c r="C219" i="2"/>
  <c r="D219" i="2" a="1"/>
  <c r="D219" i="2" s="1"/>
  <c r="E219" i="2" a="1"/>
  <c r="E219" i="2" s="1"/>
  <c r="A220" i="2" a="1"/>
  <c r="A220" i="2" s="1"/>
  <c r="B220" i="2" a="1"/>
  <c r="B220" i="2"/>
  <c r="C220" i="2" a="1"/>
  <c r="C220" i="2"/>
  <c r="D220" i="2" a="1"/>
  <c r="D220" i="2"/>
  <c r="E220" i="2" a="1"/>
  <c r="E220" i="2"/>
  <c r="A221" i="2" a="1"/>
  <c r="A221" i="2" s="1"/>
  <c r="B221" i="2" a="1"/>
  <c r="B221" i="2"/>
  <c r="C221" i="2" a="1"/>
  <c r="C221" i="2"/>
  <c r="D221" i="2" a="1"/>
  <c r="D221" i="2"/>
  <c r="E221" i="2" a="1"/>
  <c r="E221" i="2" s="1"/>
  <c r="A222" i="2" a="1"/>
  <c r="A222" i="2"/>
  <c r="B222" i="2" a="1"/>
  <c r="B222" i="2" s="1"/>
  <c r="C222" i="2" a="1"/>
  <c r="C222" i="2" s="1"/>
  <c r="D222" i="2" a="1"/>
  <c r="D222" i="2"/>
  <c r="E222" i="2" a="1"/>
  <c r="E222" i="2" s="1"/>
  <c r="A223" i="2" a="1"/>
  <c r="A223" i="2" s="1"/>
  <c r="B223" i="2" a="1"/>
  <c r="B223" i="2"/>
  <c r="C223" i="2" a="1"/>
  <c r="C223" i="2"/>
  <c r="D223" i="2" a="1"/>
  <c r="D223" i="2" s="1"/>
  <c r="E223" i="2" a="1"/>
  <c r="E223" i="2" s="1"/>
  <c r="A224" i="2" a="1"/>
  <c r="A224" i="2" s="1"/>
  <c r="B224" i="2" a="1"/>
  <c r="B224" i="2" s="1"/>
  <c r="C224" i="2" a="1"/>
  <c r="C224" i="2"/>
  <c r="D224" i="2" a="1"/>
  <c r="D224" i="2"/>
  <c r="E224" i="2" a="1"/>
  <c r="E224" i="2"/>
  <c r="A225" i="2" a="1"/>
  <c r="A225" i="2"/>
  <c r="B225" i="2" a="1"/>
  <c r="B225" i="2" s="1"/>
  <c r="C225" i="2" a="1"/>
  <c r="C225" i="2"/>
  <c r="D225" i="2" a="1"/>
  <c r="D225" i="2"/>
  <c r="E225" i="2" a="1"/>
  <c r="E225" i="2" s="1"/>
  <c r="A226" i="2" a="1"/>
  <c r="A226" i="2" s="1"/>
  <c r="B226" i="2" a="1"/>
  <c r="B226" i="2"/>
  <c r="C226" i="2" a="1"/>
  <c r="C226" i="2"/>
  <c r="D226" i="2" a="1"/>
  <c r="D226" i="2" s="1"/>
  <c r="E226" i="2" a="1"/>
  <c r="E226" i="2" s="1"/>
  <c r="A227" i="2" a="1"/>
  <c r="A227" i="2"/>
  <c r="B227" i="2" a="1"/>
  <c r="B227" i="2" s="1"/>
  <c r="C227" i="2" a="1"/>
  <c r="C227" i="2"/>
  <c r="D227" i="2" a="1"/>
  <c r="D227" i="2"/>
  <c r="E227" i="2" a="1"/>
  <c r="E227" i="2" s="1"/>
  <c r="A228" i="2" a="1"/>
  <c r="A228" i="2" s="1"/>
  <c r="B228" i="2" a="1"/>
  <c r="B228" i="2" s="1"/>
  <c r="C228" i="2" a="1"/>
  <c r="C228" i="2"/>
  <c r="D228" i="2" a="1"/>
  <c r="D228" i="2"/>
  <c r="E228" i="2" a="1"/>
  <c r="E228" i="2" s="1"/>
  <c r="A229" i="2" a="1"/>
  <c r="A229" i="2"/>
  <c r="B229" i="2" a="1"/>
  <c r="B229" i="2"/>
  <c r="C229" i="2" a="1"/>
  <c r="C229" i="2" s="1"/>
  <c r="D229" i="2" a="1"/>
  <c r="D229" i="2" s="1"/>
  <c r="E229" i="2" a="1"/>
  <c r="E229" i="2" s="1"/>
  <c r="A230" i="2" a="1"/>
  <c r="A230" i="2"/>
  <c r="B230" i="2" a="1"/>
  <c r="B230" i="2"/>
  <c r="C230" i="2" a="1"/>
  <c r="C230" i="2"/>
  <c r="D230" i="2" a="1"/>
  <c r="D230" i="2"/>
  <c r="E230" i="2" a="1"/>
  <c r="E230" i="2" s="1"/>
  <c r="A231" i="2" a="1"/>
  <c r="A231" i="2"/>
  <c r="B231" i="2" a="1"/>
  <c r="B231" i="2" s="1"/>
  <c r="C231" i="2" a="1"/>
  <c r="C231" i="2"/>
  <c r="D231" i="2" a="1"/>
  <c r="D231" i="2" s="1"/>
  <c r="E231" i="2" a="1"/>
  <c r="E231" i="2"/>
  <c r="A232" i="2" a="1"/>
  <c r="A232" i="2" s="1"/>
  <c r="B232" i="2" a="1"/>
  <c r="B232" i="2" s="1"/>
  <c r="C232" i="2" a="1"/>
  <c r="C232" i="2" s="1"/>
  <c r="D232" i="2" a="1"/>
  <c r="D232" i="2" s="1"/>
  <c r="E232" i="2" a="1"/>
  <c r="E232" i="2" s="1"/>
  <c r="A233" i="2" a="1"/>
  <c r="A233" i="2" s="1"/>
  <c r="B233" i="2" a="1"/>
  <c r="B233" i="2" s="1"/>
  <c r="C233" i="2" a="1"/>
  <c r="C233" i="2"/>
  <c r="D233" i="2" a="1"/>
  <c r="D233" i="2" s="1"/>
  <c r="E233" i="2" a="1"/>
  <c r="E233" i="2"/>
  <c r="A234" i="2" a="1"/>
  <c r="A234" i="2"/>
  <c r="B234" i="2" a="1"/>
  <c r="B234" i="2" s="1"/>
  <c r="C234" i="2" a="1"/>
  <c r="C234" i="2"/>
  <c r="D234" i="2" a="1"/>
  <c r="D234" i="2"/>
  <c r="E234" i="2" a="1"/>
  <c r="E234" i="2" s="1"/>
  <c r="A235" i="2" a="1"/>
  <c r="A235" i="2" s="1"/>
  <c r="B235" i="2" a="1"/>
  <c r="B235" i="2"/>
  <c r="C235" i="2" a="1"/>
  <c r="C235" i="2" s="1"/>
  <c r="D235" i="2" a="1"/>
  <c r="D235" i="2"/>
  <c r="E235" i="2" a="1"/>
  <c r="E235" i="2" s="1"/>
  <c r="A236" i="2" a="1"/>
  <c r="A236" i="2" s="1"/>
  <c r="B236" i="2" a="1"/>
  <c r="B236" i="2" s="1"/>
  <c r="C236" i="2" a="1"/>
  <c r="C236" i="2" s="1"/>
  <c r="D236" i="2" a="1"/>
  <c r="D236" i="2" s="1"/>
  <c r="E236" i="2" a="1"/>
  <c r="E236" i="2"/>
  <c r="A237" i="2" a="1"/>
  <c r="A237" i="2"/>
  <c r="B237" i="2" a="1"/>
  <c r="B237" i="2"/>
  <c r="C237" i="2" a="1"/>
  <c r="C237" i="2"/>
  <c r="D237" i="2" a="1"/>
  <c r="D237" i="2" s="1"/>
  <c r="E237" i="2" a="1"/>
  <c r="E237" i="2" s="1"/>
  <c r="A238" i="2" a="1"/>
  <c r="A238" i="2"/>
  <c r="B238" i="2" a="1"/>
  <c r="B238" i="2"/>
  <c r="C238" i="2" a="1"/>
  <c r="C238" i="2" s="1"/>
  <c r="D238" i="2" a="1"/>
  <c r="D238" i="2"/>
  <c r="E238" i="2" a="1"/>
  <c r="E238" i="2" s="1"/>
  <c r="A239" i="2" a="1"/>
  <c r="A239" i="2"/>
  <c r="B239" i="2" a="1"/>
  <c r="B239" i="2" s="1"/>
  <c r="C239" i="2" a="1"/>
  <c r="C239" i="2" s="1"/>
  <c r="D239" i="2" a="1"/>
  <c r="D239" i="2" s="1"/>
  <c r="E239" i="2" a="1"/>
  <c r="E239" i="2" s="1"/>
  <c r="A240" i="2" a="1"/>
  <c r="A240" i="2"/>
  <c r="B240" i="2" a="1"/>
  <c r="B240" i="2"/>
  <c r="C240" i="2" a="1"/>
  <c r="C240" i="2"/>
  <c r="D240" i="2" a="1"/>
  <c r="D240" i="2" s="1"/>
  <c r="E240" i="2" a="1"/>
  <c r="E240" i="2"/>
  <c r="A241" i="2" a="1"/>
  <c r="A241" i="2"/>
  <c r="B241" i="2" a="1"/>
  <c r="B241" i="2"/>
  <c r="C241" i="2" a="1"/>
  <c r="C241" i="2" s="1"/>
  <c r="D241" i="2" a="1"/>
  <c r="D241" i="2"/>
  <c r="E241" i="2" a="1"/>
  <c r="E241" i="2" s="1"/>
  <c r="A242" i="2" a="1"/>
  <c r="A242" i="2" s="1"/>
  <c r="B242" i="2" a="1"/>
  <c r="B242" i="2"/>
  <c r="C242" i="2" a="1"/>
  <c r="C242" i="2" s="1"/>
  <c r="D242" i="2" a="1"/>
  <c r="D242" i="2" s="1"/>
  <c r="E242" i="2" a="1"/>
  <c r="E242" i="2" s="1"/>
  <c r="A243" i="2" a="1"/>
  <c r="A243" i="2"/>
  <c r="B243" i="2" a="1"/>
  <c r="B243" i="2" s="1"/>
  <c r="C243" i="2" a="1"/>
  <c r="C243" i="2" s="1"/>
  <c r="D243" i="2" a="1"/>
  <c r="D243" i="2" s="1"/>
  <c r="E243" i="2" a="1"/>
  <c r="E243" i="2" s="1"/>
  <c r="A244" i="2" a="1"/>
  <c r="A244" i="2"/>
  <c r="B244" i="2" a="1"/>
  <c r="B244" i="2"/>
  <c r="C244" i="2" a="1"/>
  <c r="C244" i="2" s="1"/>
  <c r="D244" i="2" a="1"/>
  <c r="D244" i="2" s="1"/>
  <c r="E244" i="2" a="1"/>
  <c r="E244" i="2" s="1"/>
  <c r="A245" i="2" a="1"/>
  <c r="A245" i="2"/>
  <c r="B245" i="2" a="1"/>
  <c r="B245" i="2" s="1"/>
  <c r="C245" i="2" a="1"/>
  <c r="C245" i="2" s="1"/>
  <c r="D245" i="2" a="1"/>
  <c r="D245" i="2" s="1"/>
  <c r="E245" i="2" a="1"/>
  <c r="E245" i="2"/>
  <c r="A246" i="2" a="1"/>
  <c r="A246" i="2"/>
  <c r="B246" i="2" a="1"/>
  <c r="B246" i="2" s="1"/>
  <c r="C246" i="2" a="1"/>
  <c r="C246" i="2" s="1"/>
  <c r="D246" i="2" a="1"/>
  <c r="D246" i="2"/>
  <c r="E246" i="2" a="1"/>
  <c r="E246" i="2" s="1"/>
  <c r="A247" i="2" a="1"/>
  <c r="A247" i="2"/>
  <c r="B247" i="2" a="1"/>
  <c r="B247" i="2"/>
  <c r="C247" i="2" a="1"/>
  <c r="C247" i="2" s="1"/>
  <c r="D247" i="2" a="1"/>
  <c r="D247" i="2"/>
  <c r="E247" i="2" a="1"/>
  <c r="E247" i="2" s="1"/>
  <c r="A248" i="2" a="1"/>
  <c r="A248" i="2"/>
  <c r="B248" i="2" a="1"/>
  <c r="B248" i="2"/>
  <c r="C248" i="2" a="1"/>
  <c r="C248" i="2"/>
  <c r="D248" i="2" a="1"/>
  <c r="D248" i="2"/>
  <c r="E248" i="2" a="1"/>
  <c r="E248" i="2" s="1"/>
  <c r="A249" i="2" a="1"/>
  <c r="A249" i="2"/>
  <c r="B249" i="2" a="1"/>
  <c r="B249" i="2" s="1"/>
  <c r="C249" i="2" a="1"/>
  <c r="C249" i="2" s="1"/>
  <c r="D249" i="2" a="1"/>
  <c r="D249" i="2"/>
  <c r="E249" i="2" a="1"/>
  <c r="E249" i="2"/>
  <c r="A250" i="2" a="1"/>
  <c r="A250" i="2"/>
  <c r="B250" i="2" a="1"/>
  <c r="B250" i="2" s="1"/>
  <c r="C250" i="2" a="1"/>
  <c r="C250" i="2"/>
  <c r="D250" i="2" a="1"/>
  <c r="D250" i="2" s="1"/>
  <c r="E250" i="2" a="1"/>
  <c r="E250" i="2"/>
  <c r="A251" i="2" a="1"/>
  <c r="A251" i="2" s="1"/>
  <c r="B251" i="2" a="1"/>
  <c r="B251" i="2"/>
  <c r="C251" i="2" a="1"/>
  <c r="C251" i="2"/>
  <c r="D251" i="2" a="1"/>
  <c r="D251" i="2" s="1"/>
  <c r="E251" i="2" a="1"/>
  <c r="E251" i="2"/>
  <c r="A252" i="2" a="1"/>
  <c r="A252" i="2" s="1"/>
  <c r="B252" i="2" a="1"/>
  <c r="B252" i="2" s="1"/>
  <c r="C252" i="2" a="1"/>
  <c r="C252" i="2"/>
  <c r="D252" i="2" a="1"/>
  <c r="D252" i="2"/>
  <c r="E252" i="2" a="1"/>
  <c r="E252" i="2"/>
  <c r="A253" i="2" a="1"/>
  <c r="A253" i="2" s="1"/>
  <c r="B253" i="2" a="1"/>
  <c r="B253" i="2" s="1"/>
  <c r="C253" i="2" a="1"/>
  <c r="C253" i="2" s="1"/>
  <c r="D253" i="2" a="1"/>
  <c r="D253" i="2" s="1"/>
  <c r="E253" i="2" a="1"/>
  <c r="E253" i="2" s="1"/>
  <c r="A254" i="2" a="1"/>
  <c r="A254" i="2"/>
  <c r="B254" i="2" a="1"/>
  <c r="B254" i="2"/>
  <c r="C254" i="2" a="1"/>
  <c r="C254" i="2" s="1"/>
  <c r="D254" i="2" a="1"/>
  <c r="D254" i="2" s="1"/>
  <c r="E254" i="2" a="1"/>
  <c r="E254" i="2" s="1"/>
  <c r="A255" i="2" a="1"/>
  <c r="A255" i="2" s="1"/>
  <c r="B255" i="2" a="1"/>
  <c r="B255" i="2" s="1"/>
  <c r="C255" i="2" a="1"/>
  <c r="C255" i="2"/>
  <c r="D255" i="2" a="1"/>
  <c r="D255" i="2"/>
  <c r="E255" i="2" a="1"/>
  <c r="E255" i="2" s="1"/>
  <c r="A256" i="2" a="1"/>
  <c r="A256" i="2" s="1"/>
  <c r="B256" i="2" a="1"/>
  <c r="B256" i="2" s="1"/>
  <c r="C256" i="2" a="1"/>
  <c r="C256" i="2"/>
  <c r="D256" i="2" a="1"/>
  <c r="D256" i="2" s="1"/>
  <c r="E256" i="2" a="1"/>
  <c r="E256" i="2"/>
  <c r="A257" i="2" a="1"/>
  <c r="A257" i="2"/>
  <c r="B257" i="2" a="1"/>
  <c r="B257" i="2" s="1"/>
  <c r="C257" i="2" a="1"/>
  <c r="C257" i="2"/>
  <c r="D257" i="2" a="1"/>
  <c r="D257" i="2" s="1"/>
  <c r="E257" i="2" a="1"/>
  <c r="E257" i="2"/>
  <c r="A258" i="2" a="1"/>
  <c r="A258" i="2"/>
  <c r="B258" i="2" a="1"/>
  <c r="B258" i="2"/>
  <c r="C258" i="2" a="1"/>
  <c r="C258" i="2"/>
  <c r="D258" i="2" a="1"/>
  <c r="D258" i="2" s="1"/>
  <c r="E258" i="2" a="1"/>
  <c r="E258" i="2"/>
  <c r="A259" i="2" a="1"/>
  <c r="A259" i="2" s="1"/>
  <c r="B259" i="2" a="1"/>
  <c r="B259" i="2" s="1"/>
  <c r="C259" i="2" a="1"/>
  <c r="C259" i="2"/>
  <c r="D259" i="2" a="1"/>
  <c r="D259" i="2"/>
  <c r="E259" i="2" a="1"/>
  <c r="E259" i="2"/>
  <c r="A260" i="2" a="1"/>
  <c r="A260" i="2" s="1"/>
  <c r="B260" i="2" a="1"/>
  <c r="B260" i="2"/>
  <c r="C260" i="2" a="1"/>
  <c r="C260" i="2" s="1"/>
  <c r="D260" i="2" a="1"/>
  <c r="D260" i="2"/>
  <c r="E260" i="2" a="1"/>
  <c r="E260" i="2" s="1"/>
  <c r="A261" i="2" a="1"/>
  <c r="A261" i="2"/>
  <c r="B261" i="2" a="1"/>
  <c r="B261" i="2"/>
  <c r="C261" i="2" a="1"/>
  <c r="C261" i="2" s="1"/>
  <c r="D261" i="2" a="1"/>
  <c r="D261" i="2"/>
  <c r="E261" i="2" a="1"/>
  <c r="E261" i="2" s="1"/>
  <c r="A262" i="2" a="1"/>
  <c r="A262" i="2" s="1"/>
  <c r="B262" i="2" a="1"/>
  <c r="B262" i="2"/>
  <c r="C262" i="2" a="1"/>
  <c r="C262" i="2"/>
  <c r="D262" i="2" a="1"/>
  <c r="D262" i="2"/>
  <c r="E262" i="2" a="1"/>
  <c r="E262" i="2" s="1"/>
  <c r="A263" i="2" a="1"/>
  <c r="A263" i="2" s="1"/>
  <c r="B263" i="2" a="1"/>
  <c r="B263" i="2" s="1"/>
  <c r="C263" i="2" a="1"/>
  <c r="C263" i="2" s="1"/>
  <c r="D263" i="2" a="1"/>
  <c r="D263" i="2" s="1"/>
  <c r="E263" i="2" a="1"/>
  <c r="E263" i="2"/>
  <c r="A264" i="2" a="1"/>
  <c r="A264" i="2"/>
  <c r="B264" i="2" a="1"/>
  <c r="B264" i="2" s="1"/>
  <c r="C264" i="2" a="1"/>
  <c r="C264" i="2" s="1"/>
  <c r="D264" i="2" a="1"/>
  <c r="D264" i="2" s="1"/>
  <c r="E264" i="2" a="1"/>
  <c r="E264" i="2" s="1"/>
  <c r="A265" i="2" a="1"/>
  <c r="A265" i="2" s="1"/>
  <c r="B265" i="2" a="1"/>
  <c r="B265" i="2"/>
  <c r="C265" i="2" a="1"/>
  <c r="C265" i="2"/>
  <c r="D265" i="2" a="1"/>
  <c r="D265" i="2" s="1"/>
  <c r="E265" i="2" a="1"/>
  <c r="E265" i="2" s="1"/>
  <c r="A266" i="2" a="1"/>
  <c r="A266" i="2" s="1"/>
  <c r="B266" i="2" a="1"/>
  <c r="B266" i="2"/>
  <c r="C266" i="2" a="1"/>
  <c r="C266" i="2" s="1"/>
  <c r="D266" i="2" a="1"/>
  <c r="D266" i="2"/>
  <c r="E266" i="2" a="1"/>
  <c r="E266" i="2"/>
  <c r="A267" i="2" a="1"/>
  <c r="A267" i="2" s="1"/>
  <c r="B267" i="2" a="1"/>
  <c r="B267" i="2" s="1"/>
  <c r="C267" i="2" a="1"/>
  <c r="C267" i="2" s="1"/>
  <c r="D267" i="2" a="1"/>
  <c r="D267" i="2"/>
  <c r="E267" i="2" a="1"/>
  <c r="E267" i="2"/>
  <c r="A268" i="2" a="1"/>
  <c r="A268" i="2"/>
  <c r="B268" i="2" a="1"/>
  <c r="B268" i="2"/>
  <c r="C268" i="2" a="1"/>
  <c r="C268" i="2" s="1"/>
  <c r="D268" i="2" a="1"/>
  <c r="D268" i="2"/>
  <c r="E268" i="2" a="1"/>
  <c r="E268" i="2" s="1"/>
  <c r="A269" i="2" a="1"/>
  <c r="A269" i="2"/>
  <c r="B269" i="2" a="1"/>
  <c r="B269" i="2"/>
  <c r="C269" i="2" a="1"/>
  <c r="C269" i="2"/>
  <c r="D269" i="2" a="1"/>
  <c r="D269" i="2"/>
  <c r="E269" i="2" a="1"/>
  <c r="E269" i="2" s="1"/>
  <c r="A270" i="2" a="1"/>
  <c r="A270" i="2"/>
  <c r="B270" i="2" a="1"/>
  <c r="B270" i="2" s="1"/>
  <c r="C270" i="2" a="1"/>
  <c r="C270" i="2"/>
  <c r="D270" i="2" a="1"/>
  <c r="D270" i="2"/>
  <c r="E270" i="2" a="1"/>
  <c r="E270" i="2"/>
  <c r="A271" i="2" a="1"/>
  <c r="A271" i="2"/>
  <c r="B271" i="2" a="1"/>
  <c r="B271" i="2" s="1"/>
  <c r="C271" i="2" a="1"/>
  <c r="C271" i="2"/>
  <c r="D271" i="2" a="1"/>
  <c r="D271" i="2" s="1"/>
  <c r="E271" i="2" a="1"/>
  <c r="E271" i="2" s="1"/>
  <c r="A272" i="2" a="1"/>
  <c r="A272" i="2"/>
  <c r="B272" i="2" a="1"/>
  <c r="B272" i="2"/>
  <c r="C272" i="2" a="1"/>
  <c r="C272" i="2"/>
  <c r="D272" i="2" a="1"/>
  <c r="D272" i="2" s="1"/>
  <c r="E272" i="2" a="1"/>
  <c r="E272" i="2" s="1"/>
  <c r="A273" i="2" a="1"/>
  <c r="A273" i="2" s="1"/>
  <c r="B273" i="2" a="1"/>
  <c r="B273" i="2" s="1"/>
  <c r="C273" i="2" a="1"/>
  <c r="C273" i="2" s="1"/>
  <c r="D273" i="2" a="1"/>
  <c r="D273" i="2"/>
  <c r="E273" i="2" a="1"/>
  <c r="E273" i="2"/>
  <c r="A274" i="2" a="1"/>
  <c r="A274" i="2" s="1"/>
  <c r="B274" i="2" a="1"/>
  <c r="B274" i="2" s="1"/>
  <c r="C274" i="2" a="1"/>
  <c r="C274" i="2" s="1"/>
  <c r="D274" i="2" a="1"/>
  <c r="D274" i="2" s="1"/>
  <c r="E274" i="2" a="1"/>
  <c r="E274" i="2" s="1"/>
  <c r="A275" i="2" a="1"/>
  <c r="A275" i="2"/>
  <c r="B275" i="2" a="1"/>
  <c r="B275" i="2"/>
  <c r="C275" i="2" a="1"/>
  <c r="C275" i="2" s="1"/>
  <c r="D275" i="2" a="1"/>
  <c r="D275" i="2" s="1"/>
  <c r="E275" i="2" a="1"/>
  <c r="E275" i="2" s="1"/>
  <c r="A276" i="2" a="1"/>
  <c r="A276" i="2"/>
  <c r="B276" i="2" a="1"/>
  <c r="B276" i="2" s="1"/>
  <c r="C276" i="2" a="1"/>
  <c r="C276" i="2"/>
  <c r="D276" i="2" a="1"/>
  <c r="D276" i="2"/>
  <c r="E276" i="2" a="1"/>
  <c r="E276" i="2" s="1"/>
  <c r="A277" i="2" a="1"/>
  <c r="A277" i="2" s="1"/>
  <c r="B277" i="2" a="1"/>
  <c r="B277" i="2" s="1"/>
  <c r="C277" i="2" a="1"/>
  <c r="C277" i="2"/>
  <c r="D277" i="2" a="1"/>
  <c r="D277" i="2"/>
  <c r="E277" i="2" a="1"/>
  <c r="E277" i="2"/>
  <c r="A278" i="2" a="1"/>
  <c r="A278" i="2"/>
  <c r="B278" i="2" a="1"/>
  <c r="B278" i="2" s="1"/>
  <c r="C278" i="2" a="1"/>
  <c r="C278" i="2"/>
  <c r="D278" i="2" a="1"/>
  <c r="D278" i="2" s="1"/>
  <c r="E278" i="2" a="1"/>
  <c r="E278" i="2" s="1"/>
  <c r="A279" i="2" a="1"/>
  <c r="A279" i="2"/>
  <c r="B279" i="2" a="1"/>
  <c r="B279" i="2"/>
  <c r="C279" i="2" a="1"/>
  <c r="C279" i="2"/>
  <c r="D279" i="2" a="1"/>
  <c r="D279" i="2" s="1"/>
  <c r="E279" i="2" a="1"/>
  <c r="E279" i="2"/>
  <c r="A280" i="2" a="1"/>
  <c r="A280" i="2" s="1"/>
  <c r="B280" i="2" a="1"/>
  <c r="B280" i="2"/>
  <c r="C280" i="2" a="1"/>
  <c r="C280" i="2" s="1"/>
  <c r="D280" i="2" a="1"/>
  <c r="D280" i="2"/>
  <c r="E280" i="2" a="1"/>
  <c r="E280" i="2"/>
  <c r="A281" i="2" a="1"/>
  <c r="A281" i="2" s="1"/>
  <c r="B281" i="2" a="1"/>
  <c r="B281" i="2"/>
  <c r="C281" i="2" a="1"/>
  <c r="C281" i="2" s="1"/>
  <c r="D281" i="2" a="1"/>
  <c r="D281" i="2" s="1"/>
  <c r="E281" i="2" a="1"/>
  <c r="E281" i="2"/>
  <c r="A282" i="2" a="1"/>
  <c r="A282" i="2"/>
  <c r="B282" i="2" a="1"/>
  <c r="B282" i="2"/>
  <c r="C282" i="2" a="1"/>
  <c r="C282" i="2" s="1"/>
  <c r="D282" i="2" a="1"/>
  <c r="D282" i="2" s="1"/>
  <c r="E282" i="2" a="1"/>
  <c r="E282" i="2" s="1"/>
  <c r="A283" i="2" a="1"/>
  <c r="A283" i="2" s="1"/>
  <c r="B283" i="2" a="1"/>
  <c r="B283" i="2" s="1"/>
  <c r="C283" i="2" a="1"/>
  <c r="C283" i="2"/>
  <c r="D283" i="2" a="1"/>
  <c r="D283" i="2"/>
  <c r="E283" i="2" a="1"/>
  <c r="E283" i="2" s="1"/>
  <c r="A284" i="2" a="1"/>
  <c r="A284" i="2" s="1"/>
  <c r="B284" i="2" a="1"/>
  <c r="B284" i="2" s="1"/>
  <c r="C284" i="2" a="1"/>
  <c r="C284" i="2" s="1"/>
  <c r="D284" i="2" a="1"/>
  <c r="D284" i="2" s="1"/>
  <c r="E284" i="2" a="1"/>
  <c r="E284" i="2"/>
  <c r="A285" i="2" a="1"/>
  <c r="A285" i="2"/>
  <c r="B285" i="2" a="1"/>
  <c r="B285" i="2" s="1"/>
  <c r="C285" i="2" a="1"/>
  <c r="C285" i="2" s="1"/>
  <c r="D285" i="2" a="1"/>
  <c r="D285" i="2" s="1"/>
  <c r="E285" i="2" a="1"/>
  <c r="E285" i="2"/>
  <c r="A286" i="2" a="1"/>
  <c r="A286" i="2" s="1"/>
  <c r="B286" i="2" a="1"/>
  <c r="B286" i="2"/>
  <c r="C286" i="2" a="1"/>
  <c r="C286" i="2"/>
  <c r="D286" i="2" a="1"/>
  <c r="D286" i="2" s="1"/>
  <c r="E286" i="2" a="1"/>
  <c r="E286" i="2" s="1"/>
  <c r="A287" i="2" a="1"/>
  <c r="A287" i="2" s="1"/>
  <c r="B287" i="2" a="1"/>
  <c r="B287" i="2"/>
  <c r="C287" i="2" a="1"/>
  <c r="C287" i="2"/>
  <c r="D287" i="2" a="1"/>
  <c r="D287" i="2"/>
  <c r="E287" i="2" a="1"/>
  <c r="E287" i="2"/>
  <c r="A288" i="2" a="1"/>
  <c r="A288" i="2" s="1"/>
  <c r="B288" i="2" a="1"/>
  <c r="B288" i="2"/>
  <c r="C288" i="2" a="1"/>
  <c r="C288" i="2" s="1"/>
  <c r="D288" i="2" a="1"/>
  <c r="D288" i="2" s="1"/>
  <c r="E288" i="2" a="1"/>
  <c r="E288" i="2"/>
  <c r="A289" i="2" a="1"/>
  <c r="A289" i="2"/>
  <c r="B289" i="2" a="1"/>
  <c r="B289" i="2"/>
  <c r="C289" i="2" a="1"/>
  <c r="C289" i="2" s="1"/>
  <c r="D289" i="2" a="1"/>
  <c r="D289" i="2"/>
  <c r="E289" i="2" a="1"/>
  <c r="E289" i="2" s="1"/>
  <c r="A290" i="2" a="1"/>
  <c r="A290" i="2"/>
  <c r="B290" i="2" a="1"/>
  <c r="B290" i="2" s="1"/>
  <c r="C290" i="2" a="1"/>
  <c r="C290" i="2"/>
  <c r="D290" i="2" a="1"/>
  <c r="D290" i="2"/>
  <c r="E290" i="2" a="1"/>
  <c r="E290" i="2" s="1"/>
  <c r="A291" i="2" a="1"/>
  <c r="A291" i="2"/>
  <c r="B291" i="2" a="1"/>
  <c r="B291" i="2" s="1"/>
  <c r="C291" i="2" a="1"/>
  <c r="C291" i="2" s="1"/>
  <c r="D291" i="2" a="1"/>
  <c r="D291" i="2"/>
  <c r="E291" i="2" a="1"/>
  <c r="E291" i="2" s="1"/>
  <c r="A292" i="2" a="1"/>
  <c r="A292" i="2"/>
  <c r="B292" i="2" a="1"/>
  <c r="B292" i="2" s="1"/>
  <c r="C292" i="2" a="1"/>
  <c r="C292" i="2" s="1"/>
  <c r="D292" i="2" a="1"/>
  <c r="D292" i="2" s="1"/>
  <c r="E292" i="2" a="1"/>
  <c r="E292" i="2" s="1"/>
  <c r="A293" i="2" a="1"/>
  <c r="A293" i="2" s="1"/>
  <c r="B293" i="2" a="1"/>
  <c r="B293" i="2" s="1"/>
  <c r="C293" i="2" a="1"/>
  <c r="C293" i="2"/>
  <c r="D293" i="2" a="1"/>
  <c r="D293" i="2" s="1"/>
  <c r="E293" i="2" a="1"/>
  <c r="E293" i="2" s="1"/>
  <c r="A294" i="2" a="1"/>
  <c r="A294" i="2" s="1"/>
  <c r="B294" i="2" a="1"/>
  <c r="B294" i="2" s="1"/>
  <c r="C294" i="2" a="1"/>
  <c r="C294" i="2" s="1"/>
  <c r="D294" i="2" a="1"/>
  <c r="D294" i="2" s="1"/>
  <c r="E294" i="2" a="1"/>
  <c r="E294" i="2"/>
  <c r="A295" i="2" a="1"/>
  <c r="A295" i="2" s="1"/>
  <c r="B295" i="2" a="1"/>
  <c r="B295" i="2" s="1"/>
  <c r="C295" i="2" a="1"/>
  <c r="C295" i="2" s="1"/>
  <c r="D295" i="2" a="1"/>
  <c r="D295" i="2"/>
  <c r="E295" i="2" a="1"/>
  <c r="E295" i="2" s="1"/>
  <c r="A296" i="2" a="1"/>
  <c r="A296" i="2" s="1"/>
  <c r="B296" i="2" a="1"/>
  <c r="B296" i="2" s="1"/>
  <c r="C296" i="2" a="1"/>
  <c r="C296" i="2" s="1"/>
  <c r="D296" i="2" a="1"/>
  <c r="D296" i="2"/>
  <c r="E296" i="2" a="1"/>
  <c r="E296" i="2" s="1"/>
  <c r="A297" i="2" a="1"/>
  <c r="A297" i="2"/>
  <c r="B297" i="2" a="1"/>
  <c r="B297" i="2"/>
  <c r="C297" i="2" a="1"/>
  <c r="C297" i="2" s="1"/>
  <c r="D297" i="2" a="1"/>
  <c r="D297" i="2" s="1"/>
  <c r="E297" i="2" a="1"/>
  <c r="E297" i="2" s="1"/>
  <c r="A298" i="2" a="1"/>
  <c r="A298" i="2"/>
  <c r="B298" i="2" a="1"/>
  <c r="B298" i="2" s="1"/>
  <c r="C298" i="2" a="1"/>
  <c r="C298" i="2" s="1"/>
  <c r="D298" i="2" a="1"/>
  <c r="D298" i="2"/>
  <c r="E298" i="2" a="1"/>
  <c r="E298" i="2"/>
  <c r="A299" i="2" a="1"/>
  <c r="A299" i="2" s="1"/>
  <c r="B299" i="2" a="1"/>
  <c r="B299" i="2" s="1"/>
  <c r="C299" i="2" a="1"/>
  <c r="C299" i="2"/>
  <c r="D299" i="2" a="1"/>
  <c r="D299" i="2" s="1"/>
  <c r="E299" i="2" a="1"/>
  <c r="E299" i="2"/>
  <c r="A300" i="2" a="1"/>
  <c r="A300" i="2" s="1"/>
  <c r="B300" i="2" a="1"/>
  <c r="B300" i="2"/>
  <c r="C300" i="2" a="1"/>
  <c r="C300" i="2"/>
  <c r="D300" i="2" a="1"/>
  <c r="D300" i="2" s="1"/>
  <c r="E300" i="2" a="1"/>
  <c r="E300" i="2"/>
  <c r="A301" i="2" a="1"/>
  <c r="A301" i="2" s="1"/>
  <c r="B301" i="2" a="1"/>
  <c r="B301" i="2" s="1"/>
  <c r="C301" i="2" a="1"/>
  <c r="C301" i="2"/>
  <c r="D301" i="2" a="1"/>
  <c r="D301" i="2"/>
  <c r="E301" i="2" a="1"/>
  <c r="E301" i="2"/>
  <c r="A302" i="2" a="1"/>
  <c r="A302" i="2" s="1"/>
  <c r="B302" i="2" a="1"/>
  <c r="B302" i="2" s="1"/>
  <c r="C302" i="2" a="1"/>
  <c r="C302" i="2" s="1"/>
  <c r="D302" i="2" a="1"/>
  <c r="D302" i="2" s="1"/>
  <c r="E302" i="2" a="1"/>
  <c r="E302" i="2" s="1"/>
  <c r="A303" i="2" a="1"/>
  <c r="A303" i="2"/>
  <c r="B303" i="2" a="1"/>
  <c r="B303" i="2" s="1"/>
  <c r="C303" i="2" a="1"/>
  <c r="C303" i="2" s="1"/>
  <c r="D303" i="2" a="1"/>
  <c r="D303" i="2" s="1"/>
  <c r="E303" i="2" a="1"/>
  <c r="E303" i="2" s="1"/>
  <c r="A304" i="2" a="1"/>
  <c r="A304" i="2" s="1"/>
  <c r="B304" i="2" a="1"/>
  <c r="B304" i="2" s="1"/>
  <c r="C304" i="2" a="1"/>
  <c r="C304" i="2" s="1"/>
  <c r="D304" i="2" a="1"/>
  <c r="D304" i="2" s="1"/>
  <c r="E304" i="2" a="1"/>
  <c r="E304" i="2" s="1"/>
  <c r="A305" i="2" a="1"/>
  <c r="A305" i="2" s="1"/>
  <c r="B305" i="2" a="1"/>
  <c r="B305" i="2" s="1"/>
  <c r="C305" i="2" a="1"/>
  <c r="C305" i="2"/>
  <c r="D305" i="2" a="1"/>
  <c r="D305" i="2" s="1"/>
  <c r="E305" i="2" a="1"/>
  <c r="E305" i="2" s="1"/>
  <c r="A306" i="2" a="1"/>
  <c r="A306" i="2" s="1"/>
  <c r="B306" i="2" a="1"/>
  <c r="B306" i="2" s="1"/>
  <c r="C306" i="2" a="1"/>
  <c r="C306" i="2" s="1"/>
  <c r="D306" i="2" a="1"/>
  <c r="D306" i="2" s="1"/>
  <c r="E306" i="2" a="1"/>
  <c r="E306" i="2"/>
  <c r="A307" i="2" a="1"/>
  <c r="A307" i="2"/>
  <c r="B307" i="2" a="1"/>
  <c r="B307" i="2" s="1"/>
  <c r="C307" i="2" a="1"/>
  <c r="C307" i="2" s="1"/>
  <c r="D307" i="2" a="1"/>
  <c r="D307" i="2" s="1"/>
  <c r="E307" i="2" a="1"/>
  <c r="E307" i="2"/>
  <c r="A308" i="2" a="1"/>
  <c r="A308" i="2" s="1"/>
  <c r="B308" i="2" a="1"/>
  <c r="B308" i="2" s="1"/>
  <c r="C308" i="2" a="1"/>
  <c r="C308" i="2"/>
  <c r="D308" i="2" a="1"/>
  <c r="D308" i="2"/>
  <c r="E308" i="2" a="1"/>
  <c r="E308" i="2" s="1"/>
  <c r="A309" i="2" a="1"/>
  <c r="A309" i="2" s="1"/>
  <c r="B309" i="2" a="1"/>
  <c r="B309" i="2"/>
  <c r="C309" i="2" a="1"/>
  <c r="C309" i="2" s="1"/>
  <c r="D309" i="2" a="1"/>
  <c r="D309" i="2"/>
  <c r="E309" i="2" a="1"/>
  <c r="E309" i="2"/>
  <c r="A310" i="2" a="1"/>
  <c r="A310" i="2"/>
  <c r="B310" i="2" a="1"/>
  <c r="B310" i="2"/>
  <c r="C310" i="2" a="1"/>
  <c r="C310" i="2" s="1"/>
  <c r="D310" i="2" a="1"/>
  <c r="D310" i="2"/>
  <c r="E310" i="2" a="1"/>
  <c r="E310" i="2" s="1"/>
  <c r="A311" i="2" a="1"/>
  <c r="A311" i="2" s="1"/>
  <c r="B311" i="2" a="1"/>
  <c r="B311" i="2" s="1"/>
  <c r="C311" i="2" a="1"/>
  <c r="C311" i="2"/>
  <c r="D311" i="2" a="1"/>
  <c r="D311" i="2"/>
  <c r="E311" i="2" a="1"/>
  <c r="E311" i="2" s="1"/>
  <c r="A312" i="2" a="1"/>
  <c r="A312" i="2" s="1"/>
  <c r="B312" i="2" a="1"/>
  <c r="B312" i="2" s="1"/>
  <c r="C312" i="2" a="1"/>
  <c r="C312" i="2" s="1"/>
  <c r="D312" i="2" a="1"/>
  <c r="D312" i="2" s="1"/>
  <c r="E312" i="2" a="1"/>
  <c r="E312" i="2"/>
  <c r="A313" i="2" a="1"/>
  <c r="A313" i="2" s="1"/>
  <c r="B313" i="2" a="1"/>
  <c r="B313" i="2" s="1"/>
  <c r="C313" i="2" a="1"/>
  <c r="C313" i="2" s="1"/>
  <c r="D313" i="2" a="1"/>
  <c r="D313" i="2" s="1"/>
  <c r="E313" i="2" a="1"/>
  <c r="E313" i="2" s="1"/>
  <c r="A314" i="2" a="1"/>
  <c r="A314" i="2" s="1"/>
  <c r="B314" i="2" a="1"/>
  <c r="B314" i="2" s="1"/>
  <c r="C314" i="2" a="1"/>
  <c r="C314" i="2"/>
  <c r="D314" i="2" a="1"/>
  <c r="D314" i="2" s="1"/>
  <c r="E314" i="2" a="1"/>
  <c r="E314" i="2" s="1"/>
  <c r="A315" i="2" a="1"/>
  <c r="A315" i="2" s="1"/>
  <c r="B315" i="2" a="1"/>
  <c r="B315" i="2"/>
  <c r="C315" i="2" a="1"/>
  <c r="C315" i="2" s="1"/>
  <c r="D315" i="2" a="1"/>
  <c r="D315" i="2" s="1"/>
  <c r="E315" i="2" a="1"/>
  <c r="E315" i="2" s="1"/>
  <c r="A316" i="2" a="1"/>
  <c r="A316" i="2" s="1"/>
  <c r="B316" i="2" a="1"/>
  <c r="B316" i="2" s="1"/>
  <c r="C316" i="2" a="1"/>
  <c r="C316" i="2" s="1"/>
  <c r="D316" i="2" a="1"/>
  <c r="D316" i="2"/>
  <c r="E316" i="2" a="1"/>
  <c r="E316" i="2"/>
  <c r="A317" i="2" a="1"/>
  <c r="A317" i="2" s="1"/>
  <c r="B317" i="2" a="1"/>
  <c r="B317" i="2" s="1"/>
  <c r="C317" i="2" a="1"/>
  <c r="C317" i="2" s="1"/>
  <c r="D317" i="2" a="1"/>
  <c r="D317" i="2"/>
  <c r="E317" i="2" a="1"/>
  <c r="E317" i="2" s="1"/>
  <c r="A318" i="2" a="1"/>
  <c r="A318" i="2"/>
  <c r="B318" i="2" a="1"/>
  <c r="B318" i="2"/>
  <c r="C318" i="2" a="1"/>
  <c r="C318" i="2"/>
  <c r="D318" i="2" a="1"/>
  <c r="D318" i="2" s="1"/>
  <c r="E318" i="2" a="1"/>
  <c r="E318" i="2" s="1"/>
  <c r="A319" i="2" a="1"/>
  <c r="A319" i="2"/>
  <c r="B319" i="2" a="1"/>
  <c r="B319" i="2" s="1"/>
  <c r="C319" i="2" a="1"/>
  <c r="C319" i="2" s="1"/>
  <c r="D319" i="2" a="1"/>
  <c r="D319" i="2"/>
  <c r="E319" i="2" a="1"/>
  <c r="E319" i="2"/>
  <c r="A320" i="2" a="1"/>
  <c r="A320" i="2"/>
  <c r="B320" i="2" a="1"/>
  <c r="B320" i="2" s="1"/>
  <c r="C320" i="2" a="1"/>
  <c r="C320" i="2"/>
  <c r="D320" i="2" a="1"/>
  <c r="D320" i="2" s="1"/>
  <c r="E320" i="2" a="1"/>
  <c r="E320" i="2" s="1"/>
  <c r="A321" i="2" a="1"/>
  <c r="A321" i="2" s="1"/>
  <c r="B321" i="2" a="1"/>
  <c r="B321" i="2"/>
  <c r="C321" i="2" a="1"/>
  <c r="C321" i="2"/>
  <c r="D321" i="2" a="1"/>
  <c r="D321" i="2" s="1"/>
  <c r="E321" i="2" a="1"/>
  <c r="E321" i="2" s="1"/>
  <c r="A322" i="2" a="1"/>
  <c r="A322" i="2" s="1"/>
  <c r="B322" i="2" a="1"/>
  <c r="B322" i="2" s="1"/>
  <c r="C322" i="2" a="1"/>
  <c r="C322" i="2" s="1"/>
  <c r="D322" i="2" a="1"/>
  <c r="D322" i="2"/>
  <c r="E322" i="2" a="1"/>
  <c r="E322" i="2"/>
  <c r="A323" i="2" a="1"/>
  <c r="A323" i="2" s="1"/>
  <c r="B323" i="2" a="1"/>
  <c r="B323" i="2" s="1"/>
  <c r="C323" i="2" a="1"/>
  <c r="C323" i="2" s="1"/>
  <c r="D323" i="2" a="1"/>
  <c r="D323" i="2"/>
  <c r="E323" i="2" a="1"/>
  <c r="E323" i="2"/>
  <c r="A324" i="2" a="1"/>
  <c r="A324" i="2"/>
  <c r="B324" i="2" a="1"/>
  <c r="B324" i="2"/>
  <c r="C324" i="2" a="1"/>
  <c r="C324" i="2" s="1"/>
  <c r="D324" i="2" a="1"/>
  <c r="D324" i="2" s="1"/>
  <c r="E324" i="2" a="1"/>
  <c r="E324" i="2" s="1"/>
  <c r="A325" i="2" a="1"/>
  <c r="A325" i="2"/>
  <c r="B325" i="2" a="1"/>
  <c r="B325" i="2"/>
  <c r="C325" i="2" a="1"/>
  <c r="C325" i="2"/>
  <c r="D325" i="2" a="1"/>
  <c r="D325" i="2"/>
  <c r="E325" i="2" a="1"/>
  <c r="E325" i="2" s="1"/>
  <c r="A326" i="2" a="1"/>
  <c r="A326" i="2" s="1"/>
  <c r="B326" i="2" a="1"/>
  <c r="B326" i="2" s="1"/>
  <c r="C326" i="2" a="1"/>
  <c r="C326" i="2"/>
  <c r="D326" i="2" a="1"/>
  <c r="D326" i="2" s="1"/>
  <c r="E326" i="2" a="1"/>
  <c r="E326" i="2"/>
  <c r="A327" i="2" a="1"/>
  <c r="A327" i="2"/>
  <c r="B327" i="2" a="1"/>
  <c r="B327" i="2" s="1"/>
  <c r="C327" i="2" a="1"/>
  <c r="C327" i="2" s="1"/>
  <c r="D327" i="2" a="1"/>
  <c r="D327" i="2" s="1"/>
  <c r="E327" i="2" a="1"/>
  <c r="E327" i="2"/>
  <c r="A328" i="2" a="1"/>
  <c r="A328" i="2"/>
  <c r="B328" i="2" a="1"/>
  <c r="B328" i="2"/>
  <c r="C328" i="2" a="1"/>
  <c r="C328" i="2" s="1"/>
  <c r="D328" i="2" a="1"/>
  <c r="D328" i="2" s="1"/>
  <c r="E328" i="2" a="1"/>
  <c r="E328" i="2" s="1"/>
  <c r="A329" i="2" a="1"/>
  <c r="A329" i="2" s="1"/>
  <c r="B329" i="2" a="1"/>
  <c r="B329" i="2"/>
  <c r="C329" i="2" a="1"/>
  <c r="C329" i="2"/>
  <c r="D329" i="2" a="1"/>
  <c r="D329" i="2"/>
  <c r="E329" i="2" a="1"/>
  <c r="E329" i="2"/>
  <c r="A330" i="2" a="1"/>
  <c r="A330" i="2" s="1"/>
  <c r="B330" i="2" a="1"/>
  <c r="B330" i="2" s="1"/>
  <c r="C330" i="2" a="1"/>
  <c r="C330" i="2" s="1"/>
  <c r="D330" i="2" a="1"/>
  <c r="D330" i="2"/>
  <c r="E330" i="2" a="1"/>
  <c r="E330" i="2" s="1"/>
  <c r="A331" i="2" a="1"/>
  <c r="A331" i="2"/>
  <c r="B331" i="2" a="1"/>
  <c r="B331" i="2" s="1"/>
  <c r="C331" i="2" a="1"/>
  <c r="C331" i="2" s="1"/>
  <c r="D331" i="2" a="1"/>
  <c r="D331" i="2" s="1"/>
  <c r="E331" i="2" a="1"/>
  <c r="E331" i="2" s="1"/>
  <c r="A332" i="2" a="1"/>
  <c r="A332" i="2"/>
  <c r="B332" i="2" a="1"/>
  <c r="B332" i="2"/>
  <c r="C332" i="2" a="1"/>
  <c r="C332" i="2"/>
  <c r="D332" i="2" a="1"/>
  <c r="D332" i="2" s="1"/>
  <c r="E332" i="2" a="1"/>
  <c r="E332" i="2" s="1"/>
  <c r="A333" i="2" a="1"/>
  <c r="A333" i="2" s="1"/>
  <c r="B333" i="2" a="1"/>
  <c r="B333" i="2" s="1"/>
  <c r="C333" i="2" a="1"/>
  <c r="C333" i="2"/>
  <c r="D333" i="2" a="1"/>
  <c r="D333" i="2"/>
  <c r="E333" i="2" a="1"/>
  <c r="E333" i="2" s="1"/>
  <c r="A334" i="2" a="1"/>
  <c r="A334" i="2"/>
  <c r="B334" i="2" a="1"/>
  <c r="B334" i="2" s="1"/>
  <c r="C334" i="2" a="1"/>
  <c r="C334" i="2" s="1"/>
  <c r="D334" i="2" a="1"/>
  <c r="D334" i="2" s="1"/>
  <c r="E334" i="2" a="1"/>
  <c r="E334" i="2"/>
  <c r="A335" i="2" a="1"/>
  <c r="A335" i="2"/>
  <c r="B335" i="2" a="1"/>
  <c r="B335" i="2"/>
  <c r="C335" i="2" a="1"/>
  <c r="C335" i="2" s="1"/>
  <c r="D335" i="2" a="1"/>
  <c r="D335" i="2" s="1"/>
  <c r="E335" i="2" a="1"/>
  <c r="E335" i="2" s="1"/>
  <c r="A336" i="2" a="1"/>
  <c r="A336" i="2" s="1"/>
  <c r="B336" i="2" a="1"/>
  <c r="B336" i="2"/>
  <c r="C336" i="2" a="1"/>
  <c r="C336" i="2"/>
  <c r="D336" i="2" a="1"/>
  <c r="D336" i="2" s="1"/>
  <c r="E336" i="2" a="1"/>
  <c r="E336" i="2"/>
  <c r="A337" i="2" a="1"/>
  <c r="A337" i="2" s="1"/>
  <c r="B337" i="2" a="1"/>
  <c r="B337" i="2" s="1"/>
  <c r="C337" i="2" a="1"/>
  <c r="C337" i="2" s="1"/>
  <c r="D337" i="2" a="1"/>
  <c r="D337" i="2"/>
  <c r="E337" i="2" a="1"/>
  <c r="E337" i="2"/>
  <c r="A338" i="2" a="1"/>
  <c r="A338" i="2" s="1"/>
  <c r="B338" i="2" a="1"/>
  <c r="B338" i="2"/>
  <c r="C338" i="2" a="1"/>
  <c r="C338" i="2" s="1"/>
  <c r="D338" i="2" a="1"/>
  <c r="D338" i="2" s="1"/>
  <c r="E338" i="2" a="1"/>
  <c r="E338" i="2" s="1"/>
  <c r="A339" i="2" a="1"/>
  <c r="A339" i="2"/>
  <c r="B339" i="2" a="1"/>
  <c r="B339" i="2" s="1"/>
  <c r="C339" i="2" a="1"/>
  <c r="C339" i="2"/>
  <c r="D339" i="2" a="1"/>
  <c r="D339" i="2" s="1"/>
  <c r="E339" i="2" a="1"/>
  <c r="E339" i="2" s="1"/>
  <c r="A340" i="2" a="1"/>
  <c r="A340" i="2" s="1"/>
  <c r="B340" i="2" a="1"/>
  <c r="B340" i="2" s="1"/>
  <c r="C340" i="2" a="1"/>
  <c r="C340" i="2"/>
  <c r="D340" i="2" a="1"/>
  <c r="D340" i="2"/>
  <c r="E340" i="2" a="1"/>
  <c r="E340" i="2" s="1"/>
  <c r="A341" i="2" a="1"/>
  <c r="A341" i="2"/>
  <c r="B341" i="2" a="1"/>
  <c r="B341" i="2" s="1"/>
  <c r="C341" i="2" a="1"/>
  <c r="C341" i="2" s="1"/>
  <c r="D341" i="2" a="1"/>
  <c r="D341" i="2" s="1"/>
  <c r="E341" i="2" a="1"/>
  <c r="E341" i="2"/>
  <c r="A342" i="2" a="1"/>
  <c r="A342" i="2" s="1"/>
  <c r="B342" i="2" a="1"/>
  <c r="B342" i="2"/>
  <c r="C342" i="2" a="1"/>
  <c r="C342" i="2"/>
  <c r="D342" i="2" a="1"/>
  <c r="D342" i="2" s="1"/>
  <c r="E342" i="2" a="1"/>
  <c r="E342" i="2" s="1"/>
  <c r="A343" i="2" a="1"/>
  <c r="A343" i="2" s="1"/>
  <c r="B343" i="2" a="1"/>
  <c r="B343" i="2"/>
  <c r="C343" i="2" a="1"/>
  <c r="C343" i="2" s="1"/>
  <c r="D343" i="2" a="1"/>
  <c r="D343" i="2"/>
  <c r="E343" i="2" a="1"/>
  <c r="E343" i="2"/>
  <c r="A344" i="2" a="1"/>
  <c r="A344" i="2" s="1"/>
  <c r="B344" i="2" a="1"/>
  <c r="B344" i="2" s="1"/>
  <c r="C344" i="2" a="1"/>
  <c r="C344" i="2" s="1"/>
  <c r="D344" i="2" a="1"/>
  <c r="D344" i="2"/>
  <c r="E344" i="2" a="1"/>
  <c r="E344" i="2"/>
  <c r="A345" i="2" a="1"/>
  <c r="A345" i="2" s="1"/>
  <c r="B345" i="2" a="1"/>
  <c r="B345" i="2"/>
  <c r="C345" i="2" a="1"/>
  <c r="C345" i="2" s="1"/>
  <c r="D345" i="2" a="1"/>
  <c r="D345" i="2" s="1"/>
  <c r="E345" i="2" a="1"/>
  <c r="E345" i="2" s="1"/>
  <c r="A346" i="2" a="1"/>
  <c r="A346" i="2"/>
  <c r="B346" i="2" a="1"/>
  <c r="B346" i="2" s="1"/>
  <c r="C346" i="2" a="1"/>
  <c r="C346" i="2"/>
  <c r="D346" i="2" a="1"/>
  <c r="D346" i="2"/>
  <c r="E346" i="2" a="1"/>
  <c r="E346" i="2" s="1"/>
  <c r="A347" i="2" a="1"/>
  <c r="A347" i="2" s="1"/>
  <c r="B347" i="2" a="1"/>
  <c r="B347" i="2" s="1"/>
  <c r="C347" i="2" a="1"/>
  <c r="C347" i="2"/>
  <c r="D347" i="2" a="1"/>
  <c r="D347" i="2"/>
  <c r="E347" i="2" a="1"/>
  <c r="E347" i="2"/>
  <c r="A348" i="2" a="1"/>
  <c r="A348" i="2" s="1"/>
  <c r="B348" i="2" a="1"/>
  <c r="B348" i="2" s="1"/>
  <c r="C348" i="2" a="1"/>
  <c r="C348" i="2" s="1"/>
  <c r="D348" i="2" a="1"/>
  <c r="D348" i="2" s="1"/>
  <c r="E348" i="2" a="1"/>
  <c r="E348" i="2"/>
  <c r="A349" i="2" a="1"/>
  <c r="A349" i="2"/>
  <c r="B349" i="2" a="1"/>
  <c r="B349" i="2"/>
  <c r="C349" i="2" a="1"/>
  <c r="C349" i="2"/>
  <c r="D349" i="2" a="1"/>
  <c r="D349" i="2" s="1"/>
  <c r="E349" i="2" a="1"/>
  <c r="E349" i="2" s="1"/>
  <c r="A350" i="2" a="1"/>
  <c r="A350" i="2" s="1"/>
  <c r="B350" i="2" a="1"/>
  <c r="B350" i="2"/>
  <c r="C350" i="2" a="1"/>
  <c r="C350" i="2" s="1"/>
  <c r="D350" i="2" a="1"/>
  <c r="D350" i="2"/>
  <c r="E350" i="2" a="1"/>
  <c r="E350" i="2" s="1"/>
  <c r="A351" i="2" a="1"/>
  <c r="A351" i="2" s="1"/>
  <c r="B351" i="2" a="1"/>
  <c r="B351" i="2" s="1"/>
  <c r="C351" i="2" a="1"/>
  <c r="C351" i="2" s="1"/>
  <c r="D351" i="2" a="1"/>
  <c r="D351" i="2"/>
  <c r="E351" i="2" a="1"/>
  <c r="E351" i="2"/>
  <c r="A352" i="2" a="1"/>
  <c r="A352" i="2"/>
  <c r="B352" i="2" a="1"/>
  <c r="B352" i="2" s="1"/>
  <c r="C352" i="2" a="1"/>
  <c r="C352" i="2" s="1"/>
  <c r="D352" i="2" a="1"/>
  <c r="D352" i="2" s="1"/>
  <c r="E352" i="2" a="1"/>
  <c r="E352" i="2" s="1"/>
  <c r="A353" i="2" a="1"/>
  <c r="A353" i="2"/>
  <c r="B353" i="2" a="1"/>
  <c r="B353" i="2"/>
  <c r="C353" i="2" a="1"/>
  <c r="C353" i="2" s="1"/>
  <c r="D353" i="2" a="1"/>
  <c r="D353" i="2"/>
  <c r="E353" i="2" a="1"/>
  <c r="E353" i="2" s="1"/>
  <c r="A354" i="2" a="1"/>
  <c r="A354" i="2" s="1"/>
  <c r="B354" i="2" a="1"/>
  <c r="B354" i="2" s="1"/>
  <c r="C354" i="2" a="1"/>
  <c r="C354" i="2"/>
  <c r="D354" i="2" a="1"/>
  <c r="D354" i="2"/>
  <c r="E354" i="2" a="1"/>
  <c r="E354" i="2"/>
  <c r="A355" i="2" a="1"/>
  <c r="A355" i="2" s="1"/>
  <c r="B355" i="2" a="1"/>
  <c r="B355" i="2" s="1"/>
  <c r="C355" i="2" a="1"/>
  <c r="C355" i="2" s="1"/>
  <c r="D355" i="2" a="1"/>
  <c r="D355" i="2" s="1"/>
  <c r="E355" i="2" a="1"/>
  <c r="E355" i="2"/>
  <c r="A356" i="2" a="1"/>
  <c r="A356" i="2"/>
  <c r="B356" i="2" a="1"/>
  <c r="B356" i="2" s="1"/>
  <c r="C356" i="2" a="1"/>
  <c r="C356" i="2"/>
  <c r="D356" i="2" a="1"/>
  <c r="D356" i="2" s="1"/>
  <c r="E356" i="2" a="1"/>
  <c r="E356" i="2" s="1"/>
  <c r="A357" i="2" a="1"/>
  <c r="A357" i="2" s="1"/>
  <c r="B357" i="2" a="1"/>
  <c r="B357" i="2"/>
  <c r="C357" i="2" a="1"/>
  <c r="C357" i="2"/>
  <c r="D357" i="2" a="1"/>
  <c r="D357" i="2" s="1"/>
  <c r="E357" i="2" a="1"/>
  <c r="E357" i="2"/>
  <c r="A358" i="2" a="1"/>
  <c r="A358" i="2" s="1"/>
  <c r="B358" i="2" a="1"/>
  <c r="B358" i="2" s="1"/>
  <c r="C358" i="2" a="1"/>
  <c r="C358" i="2" s="1"/>
  <c r="D358" i="2" a="1"/>
  <c r="D358" i="2"/>
  <c r="E358" i="2" a="1"/>
  <c r="E358" i="2" s="1"/>
  <c r="A359" i="2" a="1"/>
  <c r="A359" i="2"/>
  <c r="B359" i="2" a="1"/>
  <c r="B359" i="2" s="1"/>
  <c r="C359" i="2" a="1"/>
  <c r="C359" i="2" s="1"/>
  <c r="D359" i="2" a="1"/>
  <c r="D359" i="2" s="1"/>
  <c r="E359" i="2" a="1"/>
  <c r="E359" i="2" s="1"/>
  <c r="A360" i="2" a="1"/>
  <c r="A360" i="2"/>
  <c r="B360" i="2" a="1"/>
  <c r="B360" i="2"/>
  <c r="C360" i="2" a="1"/>
  <c r="C360" i="2" s="1"/>
  <c r="D360" i="2" a="1"/>
  <c r="D360" i="2"/>
  <c r="E360" i="2" a="1"/>
  <c r="E360" i="2" s="1"/>
  <c r="A361" i="2" a="1"/>
  <c r="A361" i="2" s="1"/>
  <c r="B361" i="2" a="1"/>
  <c r="B361" i="2" s="1"/>
  <c r="C361" i="2" a="1"/>
  <c r="C361" i="2"/>
  <c r="D361" i="2" a="1"/>
  <c r="D361" i="2" s="1"/>
  <c r="E361" i="2" a="1"/>
  <c r="E361" i="2"/>
  <c r="A362" i="2" a="1"/>
  <c r="A362" i="2"/>
  <c r="B362" i="2" a="1"/>
  <c r="B362" i="2" s="1"/>
  <c r="C362" i="2" a="1"/>
  <c r="C362" i="2" s="1"/>
  <c r="D362" i="2" a="1"/>
  <c r="D362" i="2" s="1"/>
  <c r="E362" i="2" a="1"/>
  <c r="E362" i="2"/>
  <c r="A363" i="2" a="1"/>
  <c r="A363" i="2" s="1"/>
  <c r="B363" i="2" a="1"/>
  <c r="B363" i="2"/>
  <c r="C363" i="2" a="1"/>
  <c r="C363" i="2"/>
  <c r="D363" i="2" a="1"/>
  <c r="D363" i="2" s="1"/>
  <c r="E363" i="2" a="1"/>
  <c r="E363" i="2" s="1"/>
  <c r="A364" i="2" a="1"/>
  <c r="A364" i="2" s="1"/>
  <c r="B364" i="2" a="1"/>
  <c r="B364" i="2"/>
  <c r="C364" i="2" a="1"/>
  <c r="C364" i="2"/>
  <c r="D364" i="2" a="1"/>
  <c r="D364" i="2" s="1"/>
  <c r="E364" i="2" a="1"/>
  <c r="E364" i="2"/>
  <c r="A365" i="2" a="1"/>
  <c r="A365" i="2" s="1"/>
  <c r="B365" i="2" a="1"/>
  <c r="B365" i="2" s="1"/>
  <c r="C365" i="2" a="1"/>
  <c r="C365" i="2" s="1"/>
  <c r="D365" i="2" a="1"/>
  <c r="D365" i="2"/>
  <c r="E365" i="2" a="1"/>
  <c r="E365" i="2" s="1"/>
  <c r="A366" i="2" a="1"/>
  <c r="A366" i="2"/>
  <c r="B366" i="2" a="1"/>
  <c r="B366" i="2"/>
  <c r="C366" i="2" a="1"/>
  <c r="C366" i="2" s="1"/>
  <c r="D366" i="2" a="1"/>
  <c r="D366" i="2" s="1"/>
  <c r="E366" i="2" a="1"/>
  <c r="E366" i="2" s="1"/>
  <c r="A367" i="2" a="1"/>
  <c r="A367" i="2"/>
  <c r="B367" i="2" a="1"/>
  <c r="B367" i="2"/>
  <c r="C367" i="2" a="1"/>
  <c r="C367" i="2"/>
  <c r="D367" i="2" a="1"/>
  <c r="D367" i="2" s="1"/>
  <c r="E367" i="2" a="1"/>
  <c r="E367" i="2" s="1"/>
  <c r="A368" i="2" a="1"/>
  <c r="A368" i="2" s="1"/>
  <c r="B368" i="2" a="1"/>
  <c r="B368" i="2" s="1"/>
  <c r="C368" i="2" a="1"/>
  <c r="C368" i="2"/>
  <c r="D368" i="2" a="1"/>
  <c r="D368" i="2"/>
  <c r="E368" i="2" a="1"/>
  <c r="E368" i="2"/>
  <c r="A369" i="2" a="1"/>
  <c r="A369" i="2"/>
  <c r="B369" i="2" a="1"/>
  <c r="B369" i="2" s="1"/>
  <c r="C369" i="2" a="1"/>
  <c r="C369" i="2" s="1"/>
  <c r="D369" i="2" a="1"/>
  <c r="D369" i="2" s="1"/>
  <c r="E369" i="2" a="1"/>
  <c r="E369" i="2"/>
  <c r="A370" i="2" a="1"/>
  <c r="A370" i="2" s="1"/>
  <c r="B370" i="2" a="1"/>
  <c r="B370" i="2"/>
  <c r="C370" i="2" a="1"/>
  <c r="C370" i="2" s="1"/>
  <c r="D370" i="2" a="1"/>
  <c r="D370" i="2" s="1"/>
  <c r="E370" i="2" a="1"/>
  <c r="E370" i="2" s="1"/>
  <c r="A371" i="2" a="1"/>
  <c r="A371" i="2" s="1"/>
  <c r="B371" i="2" a="1"/>
  <c r="B371" i="2"/>
  <c r="C371" i="2" a="1"/>
  <c r="C371" i="2"/>
  <c r="D371" i="2" a="1"/>
  <c r="D371" i="2"/>
  <c r="E371" i="2" a="1"/>
  <c r="E371" i="2" s="1"/>
  <c r="A372" i="2" a="1"/>
  <c r="A372" i="2" s="1"/>
  <c r="B372" i="2" a="1"/>
  <c r="B372" i="2" s="1"/>
  <c r="C372" i="2" a="1"/>
  <c r="C372" i="2" s="1"/>
  <c r="D372" i="2" a="1"/>
  <c r="D372" i="2"/>
  <c r="E372" i="2" a="1"/>
  <c r="E372" i="2"/>
  <c r="A373" i="2" a="1"/>
  <c r="A373" i="2" s="1"/>
  <c r="B373" i="2" a="1"/>
  <c r="B373" i="2"/>
  <c r="C373" i="2" a="1"/>
  <c r="C373" i="2" s="1"/>
  <c r="D373" i="2" a="1"/>
  <c r="D373" i="2" s="1"/>
  <c r="E373" i="2" a="1"/>
  <c r="E373" i="2" s="1"/>
  <c r="A374" i="2" a="1"/>
  <c r="A374" i="2"/>
  <c r="B374" i="2" a="1"/>
  <c r="B374" i="2"/>
  <c r="C374" i="2" a="1"/>
  <c r="C374" i="2"/>
  <c r="D374" i="2" a="1"/>
  <c r="D374" i="2" s="1"/>
  <c r="E374" i="2" a="1"/>
  <c r="E374" i="2" s="1"/>
  <c r="A375" i="2" a="1"/>
  <c r="A375" i="2" s="1"/>
  <c r="B375" i="2" a="1"/>
  <c r="B375" i="2" s="1"/>
  <c r="C375" i="2" a="1"/>
  <c r="C375" i="2" s="1"/>
  <c r="D375" i="2" a="1"/>
  <c r="D375" i="2"/>
  <c r="E375" i="2" a="1"/>
  <c r="E375" i="2" s="1"/>
  <c r="A376" i="2" a="1"/>
  <c r="A376" i="2"/>
  <c r="B376" i="2" a="1"/>
  <c r="B376" i="2" s="1"/>
  <c r="C376" i="2" a="1"/>
  <c r="C376" i="2" s="1"/>
  <c r="D376" i="2" a="1"/>
  <c r="D376" i="2" s="1"/>
  <c r="E376" i="2" a="1"/>
  <c r="E376" i="2"/>
  <c r="A377" i="2" a="1"/>
  <c r="A377" i="2" s="1"/>
  <c r="B377" i="2" a="1"/>
  <c r="B377" i="2"/>
  <c r="C377" i="2" a="1"/>
  <c r="C377" i="2" s="1"/>
  <c r="D377" i="2" a="1"/>
  <c r="D377" i="2" s="1"/>
  <c r="E377" i="2" a="1"/>
  <c r="E377" i="2" s="1"/>
  <c r="A378" i="2" a="1"/>
  <c r="A378" i="2"/>
  <c r="B378" i="2" a="1"/>
  <c r="B378" i="2" s="1"/>
  <c r="C378" i="2" a="1"/>
  <c r="C378" i="2"/>
  <c r="D378" i="2" a="1"/>
  <c r="D378" i="2" s="1"/>
  <c r="E378" i="2" a="1"/>
  <c r="E378" i="2"/>
  <c r="A379" i="2" a="1"/>
  <c r="A379" i="2" s="1"/>
  <c r="B379" i="2" a="1"/>
  <c r="B379" i="2" s="1"/>
  <c r="C379" i="2" a="1"/>
  <c r="C379" i="2"/>
  <c r="D379" i="2" a="1"/>
  <c r="D379" i="2"/>
  <c r="E379" i="2" a="1"/>
  <c r="E379" i="2" s="1"/>
  <c r="A380" i="2" a="1"/>
  <c r="A380" i="2"/>
  <c r="B380" i="2" a="1"/>
  <c r="B380" i="2" s="1"/>
  <c r="C380" i="2" a="1"/>
  <c r="C380" i="2" s="1"/>
  <c r="D380" i="2" a="1"/>
  <c r="D380" i="2" s="1"/>
  <c r="E380" i="2" a="1"/>
  <c r="E380" i="2" s="1"/>
  <c r="A381" i="2" a="1"/>
  <c r="A381" i="2"/>
  <c r="B381" i="2" a="1"/>
  <c r="B381" i="2"/>
  <c r="C381" i="2" a="1"/>
  <c r="C381" i="2" s="1"/>
  <c r="D381" i="2" a="1"/>
  <c r="D381" i="2"/>
  <c r="E381" i="2" a="1"/>
  <c r="E381" i="2" s="1"/>
  <c r="A382" i="2" a="1"/>
  <c r="A382" i="2" s="1"/>
  <c r="B382" i="2" a="1"/>
  <c r="B382" i="2"/>
  <c r="C382" i="2" a="1"/>
  <c r="C382" i="2" s="1"/>
  <c r="D382" i="2" a="1"/>
  <c r="D382" i="2"/>
  <c r="E382" i="2" a="1"/>
  <c r="E382" i="2"/>
  <c r="A383" i="2" a="1"/>
  <c r="A383" i="2" s="1"/>
  <c r="B383" i="2" a="1"/>
  <c r="B383" i="2" s="1"/>
  <c r="C383" i="2" a="1"/>
  <c r="C383" i="2" s="1"/>
  <c r="D383" i="2" a="1"/>
  <c r="D383" i="2" s="1"/>
  <c r="E383" i="2" a="1"/>
  <c r="E383" i="2"/>
  <c r="A384" i="2" a="1"/>
  <c r="A384" i="2" s="1"/>
  <c r="B384" i="2" a="1"/>
  <c r="B384" i="2"/>
  <c r="C384" i="2" a="1"/>
  <c r="C384" i="2"/>
  <c r="D384" i="2" a="1"/>
  <c r="D384" i="2" s="1"/>
  <c r="E384" i="2" a="1"/>
  <c r="E384" i="2" s="1"/>
  <c r="A385" i="2" a="1"/>
  <c r="A385" i="2"/>
  <c r="B385" i="2" a="1"/>
  <c r="B385" i="2" s="1"/>
  <c r="C385" i="2" a="1"/>
  <c r="C385" i="2"/>
  <c r="D385" i="2" a="1"/>
  <c r="D385" i="2" s="1"/>
  <c r="E385" i="2" a="1"/>
  <c r="E385" i="2"/>
  <c r="A386" i="2" a="1"/>
  <c r="A386" i="2" s="1"/>
  <c r="B386" i="2" a="1"/>
  <c r="B386" i="2" s="1"/>
  <c r="C386" i="2" a="1"/>
  <c r="C386" i="2" s="1"/>
  <c r="D386" i="2" a="1"/>
  <c r="D386" i="2"/>
  <c r="E386" i="2" a="1"/>
  <c r="E386" i="2" s="1"/>
  <c r="A387" i="2" a="1"/>
  <c r="A387" i="2"/>
  <c r="B387" i="2" a="1"/>
  <c r="B387" i="2" s="1"/>
  <c r="C387" i="2" a="1"/>
  <c r="C387" i="2" s="1"/>
  <c r="D387" i="2" a="1"/>
  <c r="D387" i="2" s="1"/>
  <c r="E387" i="2" a="1"/>
  <c r="E387" i="2"/>
  <c r="A388" i="2" a="1"/>
  <c r="A388" i="2" s="1"/>
  <c r="B388" i="2" a="1"/>
  <c r="B388" i="2"/>
  <c r="C388" i="2" a="1"/>
  <c r="C388" i="2" s="1"/>
  <c r="D388" i="2" a="1"/>
  <c r="D388" i="2" s="1"/>
  <c r="E388" i="2" a="1"/>
  <c r="E388" i="2" s="1"/>
  <c r="A389" i="2" a="1"/>
  <c r="A389" i="2" s="1"/>
  <c r="B389" i="2" a="1"/>
  <c r="B389" i="2"/>
  <c r="C389" i="2" a="1"/>
  <c r="C389" i="2"/>
  <c r="D389" i="2" a="1"/>
  <c r="D389" i="2" s="1"/>
  <c r="E389" i="2" a="1"/>
  <c r="E389" i="2"/>
  <c r="A390" i="2" a="1"/>
  <c r="A390" i="2" s="1"/>
  <c r="B390" i="2" a="1"/>
  <c r="B390" i="2" s="1"/>
  <c r="C390" i="2" a="1"/>
  <c r="C390" i="2" s="1"/>
  <c r="D390" i="2" a="1"/>
  <c r="D390" i="2" s="1"/>
  <c r="E390" i="2" a="1"/>
  <c r="E390" i="2"/>
  <c r="A391" i="2" a="1"/>
  <c r="A391" i="2"/>
  <c r="B391" i="2" a="1"/>
  <c r="B391" i="2" s="1"/>
  <c r="C391" i="2" a="1"/>
  <c r="C391" i="2"/>
  <c r="D391" i="2" a="1"/>
  <c r="D391" i="2" s="1"/>
  <c r="E391" i="2" a="1"/>
  <c r="E391" i="2" s="1"/>
  <c r="A392" i="2" a="1"/>
  <c r="A392" i="2" s="1"/>
  <c r="B392" i="2" a="1"/>
  <c r="B392" i="2" s="1"/>
  <c r="C392" i="2" a="1"/>
  <c r="C392" i="2"/>
  <c r="D392" i="2" a="1"/>
  <c r="D392" i="2"/>
  <c r="E392" i="2" a="1"/>
  <c r="E392" i="2" s="1"/>
  <c r="A393" i="2" a="1"/>
  <c r="A393" i="2" s="1"/>
  <c r="B393" i="2" a="1"/>
  <c r="B393" i="2" s="1"/>
  <c r="C393" i="2" a="1"/>
  <c r="C393" i="2" s="1"/>
  <c r="D393" i="2" a="1"/>
  <c r="D393" i="2" s="1"/>
  <c r="E393" i="2" a="1"/>
  <c r="E393" i="2" s="1"/>
  <c r="A394" i="2" a="1"/>
  <c r="A394" i="2"/>
  <c r="B394" i="2" a="1"/>
  <c r="B394" i="2"/>
  <c r="C394" i="2" a="1"/>
  <c r="C394" i="2" s="1"/>
  <c r="D394" i="2" a="1"/>
  <c r="D394" i="2" s="1"/>
  <c r="E394" i="2" a="1"/>
  <c r="E394" i="2"/>
  <c r="A395" i="2" a="1"/>
  <c r="A395" i="2" s="1"/>
  <c r="B395" i="2" a="1"/>
  <c r="B395" i="2" s="1"/>
  <c r="C395" i="2" a="1"/>
  <c r="C395" i="2" s="1"/>
  <c r="D395" i="2" a="1"/>
  <c r="D395" i="2"/>
  <c r="E395" i="2" a="1"/>
  <c r="E395" i="2" s="1"/>
  <c r="A396" i="2" a="1"/>
  <c r="A396" i="2" s="1"/>
  <c r="B396" i="2" a="1"/>
  <c r="B396" i="2" s="1"/>
  <c r="C396" i="2" a="1"/>
  <c r="C396" i="2"/>
  <c r="D396" i="2" a="1"/>
  <c r="D396" i="2" s="1"/>
  <c r="E396" i="2" a="1"/>
  <c r="E396" i="2" s="1"/>
  <c r="A397" i="2" a="1"/>
  <c r="A397" i="2" s="1"/>
  <c r="B397" i="2" a="1"/>
  <c r="B397" i="2" s="1"/>
  <c r="C397" i="2" a="1"/>
  <c r="C397" i="2" s="1"/>
  <c r="D397" i="2" a="1"/>
  <c r="D397" i="2"/>
  <c r="E397" i="2" a="1"/>
  <c r="E397" i="2" s="1"/>
  <c r="A398" i="2" a="1"/>
  <c r="A398" i="2"/>
  <c r="B398" i="2" a="1"/>
  <c r="B398" i="2" s="1"/>
  <c r="C398" i="2" a="1"/>
  <c r="C398" i="2" s="1"/>
  <c r="D398" i="2" a="1"/>
  <c r="D398" i="2" s="1"/>
  <c r="E398" i="2" a="1"/>
  <c r="E398" i="2" s="1"/>
  <c r="A399" i="2" a="1"/>
  <c r="A399" i="2"/>
  <c r="B399" i="2" a="1"/>
  <c r="B399" i="2"/>
  <c r="C399" i="2" a="1"/>
  <c r="C399" i="2" s="1"/>
  <c r="D399" i="2" a="1"/>
  <c r="D399" i="2"/>
  <c r="E399" i="2" a="1"/>
  <c r="E399" i="2" s="1"/>
  <c r="A400" i="2" a="1"/>
  <c r="A400" i="2" s="1"/>
  <c r="B400" i="2" a="1"/>
  <c r="B400" i="2" s="1"/>
  <c r="C400" i="2" a="1"/>
  <c r="C400" i="2" s="1"/>
  <c r="D400" i="2" a="1"/>
  <c r="D400" i="2"/>
  <c r="E400" i="2" a="1"/>
  <c r="E400" i="2"/>
  <c r="A401" i="2" a="1"/>
  <c r="A401" i="2" s="1"/>
  <c r="B401" i="2" a="1"/>
  <c r="B401" i="2"/>
  <c r="C401" i="2" a="1"/>
  <c r="C401" i="2" s="1"/>
  <c r="D401" i="2" a="1"/>
  <c r="D401" i="2" s="1"/>
  <c r="E401" i="2" a="1"/>
  <c r="E401" i="2" s="1"/>
  <c r="A402" i="2" a="1"/>
  <c r="A402" i="2" s="1"/>
  <c r="B402" i="2" a="1"/>
  <c r="B402" i="2"/>
  <c r="C402" i="2" a="1"/>
  <c r="C402" i="2"/>
  <c r="D402" i="2" a="1"/>
  <c r="D402" i="2" s="1"/>
  <c r="E402" i="2" a="1"/>
  <c r="E402" i="2" s="1"/>
  <c r="A403" i="2" a="1"/>
  <c r="A403" i="2" s="1"/>
  <c r="B403" i="2" a="1"/>
  <c r="B403" i="2" s="1"/>
  <c r="C403" i="2" a="1"/>
  <c r="C403" i="2" s="1"/>
  <c r="D403" i="2" a="1"/>
  <c r="D403" i="2" s="1"/>
  <c r="E403" i="2" a="1"/>
  <c r="E403" i="2"/>
  <c r="A404" i="2" a="1"/>
  <c r="A404" i="2"/>
  <c r="B404" i="2" a="1"/>
  <c r="B404" i="2" s="1"/>
  <c r="C404" i="2" a="1"/>
  <c r="C404" i="2" s="1"/>
  <c r="D404" i="2" a="1"/>
  <c r="D404" i="2"/>
  <c r="E404" i="2" a="1"/>
  <c r="E404" i="2" s="1"/>
  <c r="A405" i="2" a="1"/>
  <c r="A405" i="2" s="1"/>
  <c r="B405" i="2" a="1"/>
  <c r="B405" i="2" s="1"/>
  <c r="C405" i="2" a="1"/>
  <c r="C405" i="2"/>
  <c r="D405" i="2" a="1"/>
  <c r="D405" i="2" s="1"/>
  <c r="E405" i="2" a="1"/>
  <c r="E405" i="2" s="1"/>
  <c r="A406" i="2" a="1"/>
  <c r="A406" i="2" s="1"/>
  <c r="B406" i="2" a="1"/>
  <c r="B406" i="2"/>
  <c r="C406" i="2" a="1"/>
  <c r="C406" i="2" s="1"/>
  <c r="D406" i="2" a="1"/>
  <c r="D406" i="2" s="1"/>
  <c r="E406" i="2" a="1"/>
  <c r="E406" i="2" s="1"/>
  <c r="A407" i="2" a="1"/>
  <c r="A407" i="2" s="1"/>
  <c r="B407" i="2" a="1"/>
  <c r="B407" i="2" s="1"/>
  <c r="C407" i="2" a="1"/>
  <c r="C407" i="2"/>
  <c r="D407" i="2" a="1"/>
  <c r="D407" i="2" s="1"/>
  <c r="E407" i="2" a="1"/>
  <c r="E407" i="2"/>
  <c r="A408" i="2" a="1"/>
  <c r="A408" i="2" s="1"/>
  <c r="B408" i="2" a="1"/>
  <c r="B408" i="2" s="1"/>
  <c r="C408" i="2" a="1"/>
  <c r="C408" i="2" s="1"/>
  <c r="D408" i="2" a="1"/>
  <c r="D408" i="2" s="1"/>
  <c r="E408" i="2" a="1"/>
  <c r="E408" i="2"/>
  <c r="A409" i="2" a="1"/>
  <c r="A409" i="2"/>
  <c r="B409" i="2" a="1"/>
  <c r="B409" i="2" s="1"/>
  <c r="C409" i="2" a="1"/>
  <c r="C409" i="2"/>
  <c r="D409" i="2" a="1"/>
  <c r="D409" i="2" s="1"/>
  <c r="E409" i="2" a="1"/>
  <c r="E409" i="2" s="1"/>
  <c r="A410" i="2" a="1"/>
  <c r="A410" i="2" s="1"/>
  <c r="B410" i="2" a="1"/>
  <c r="B410" i="2" s="1"/>
  <c r="C410" i="2" a="1"/>
  <c r="C410" i="2"/>
  <c r="D410" i="2" a="1"/>
  <c r="D410" i="2"/>
  <c r="E410" i="2" a="1"/>
  <c r="E410" i="2" s="1"/>
  <c r="A411" i="2" a="1"/>
  <c r="A411" i="2"/>
  <c r="B411" i="2" a="1"/>
  <c r="B411" i="2" s="1"/>
  <c r="C411" i="2" a="1"/>
  <c r="C411" i="2" s="1"/>
  <c r="D411" i="2" a="1"/>
  <c r="D411" i="2" s="1"/>
  <c r="E411" i="2" a="1"/>
  <c r="E411" i="2" s="1"/>
  <c r="A412" i="2" a="1"/>
  <c r="A412" i="2"/>
  <c r="B412" i="2" a="1"/>
  <c r="B412" i="2"/>
  <c r="C412" i="2" a="1"/>
  <c r="C412" i="2" s="1"/>
  <c r="D412" i="2" a="1"/>
  <c r="D412" i="2" s="1"/>
  <c r="E412" i="2" a="1"/>
  <c r="E412" i="2" s="1"/>
  <c r="A413" i="2" a="1"/>
  <c r="A413" i="2" s="1"/>
  <c r="B413" i="2" a="1"/>
  <c r="B413" i="2" s="1"/>
  <c r="C413" i="2" a="1"/>
  <c r="C413" i="2" s="1"/>
  <c r="D413" i="2" a="1"/>
  <c r="D413" i="2"/>
  <c r="E413" i="2" a="1"/>
  <c r="E413" i="2"/>
  <c r="A414" i="2" a="1"/>
  <c r="A414" i="2" s="1"/>
  <c r="B414" i="2" a="1"/>
  <c r="B414" i="2"/>
  <c r="C414" i="2" a="1"/>
  <c r="C414" i="2"/>
  <c r="D414" i="2" a="1"/>
  <c r="D414" i="2"/>
  <c r="E414" i="2" a="1"/>
  <c r="E414" i="2"/>
  <c r="A415" i="2" a="1"/>
  <c r="A415" i="2"/>
  <c r="B415" i="2" a="1"/>
  <c r="B415" i="2"/>
  <c r="C415" i="2" a="1"/>
  <c r="C415" i="2" s="1"/>
  <c r="D415" i="2" a="1"/>
  <c r="D415" i="2" s="1"/>
  <c r="E415" i="2" a="1"/>
  <c r="E415" i="2"/>
  <c r="A416" i="2" a="1"/>
  <c r="A416" i="2" s="1"/>
  <c r="B416" i="2" a="1"/>
  <c r="B416" i="2" s="1"/>
  <c r="C416" i="2" a="1"/>
  <c r="C416" i="2" s="1"/>
  <c r="D416" i="2" a="1"/>
  <c r="D416" i="2"/>
  <c r="E416" i="2" a="1"/>
  <c r="E416" i="2" s="1"/>
  <c r="A417" i="2" a="1"/>
  <c r="A417" i="2" s="1"/>
  <c r="B417" i="2" a="1"/>
  <c r="B417" i="2"/>
  <c r="C417" i="2" a="1"/>
  <c r="C417" i="2"/>
  <c r="D417" i="2" a="1"/>
  <c r="D417" i="2"/>
  <c r="E417" i="2" a="1"/>
  <c r="E417" i="2"/>
  <c r="A418" i="2" a="1"/>
  <c r="A418" i="2"/>
  <c r="B418" i="2" a="1"/>
  <c r="B418" i="2" s="1"/>
  <c r="C418" i="2" a="1"/>
  <c r="C418" i="2"/>
  <c r="D418" i="2" a="1"/>
  <c r="D418" i="2" s="1"/>
  <c r="E418" i="2" a="1"/>
  <c r="E418" i="2"/>
  <c r="A419" i="2" a="1"/>
  <c r="A419" i="2" s="1"/>
  <c r="B419" i="2" a="1"/>
  <c r="B419" i="2" s="1"/>
  <c r="C419" i="2" a="1"/>
  <c r="C419" i="2" s="1"/>
  <c r="D419" i="2" a="1"/>
  <c r="D419" i="2" s="1"/>
  <c r="E419" i="2" a="1"/>
  <c r="E419" i="2"/>
  <c r="A420" i="2" a="1"/>
  <c r="A420" i="2" s="1"/>
  <c r="B420" i="2" a="1"/>
  <c r="B420" i="2"/>
  <c r="C420" i="2" a="1"/>
  <c r="C420" i="2"/>
  <c r="D420" i="2" a="1"/>
  <c r="D420" i="2"/>
  <c r="E420" i="2" a="1"/>
  <c r="E420" i="2"/>
  <c r="A421" i="2" a="1"/>
  <c r="A421" i="2" s="1"/>
  <c r="B421" i="2" a="1"/>
  <c r="B421" i="2"/>
  <c r="C421" i="2" a="1"/>
  <c r="C421" i="2"/>
  <c r="D421" i="2" a="1"/>
  <c r="D421" i="2" s="1"/>
  <c r="E421" i="2" a="1"/>
  <c r="E421" i="2"/>
  <c r="A422" i="2" a="1"/>
  <c r="A422" i="2" s="1"/>
  <c r="B422" i="2" a="1"/>
  <c r="B422" i="2" s="1"/>
  <c r="C422" i="2" a="1"/>
  <c r="C422" i="2" s="1"/>
  <c r="D422" i="2" a="1"/>
  <c r="D422" i="2"/>
  <c r="E422" i="2" a="1"/>
  <c r="E422" i="2"/>
  <c r="A423" i="2" a="1"/>
  <c r="A423" i="2" s="1"/>
  <c r="B423" i="2" a="1"/>
  <c r="B423" i="2"/>
  <c r="C423" i="2" a="1"/>
  <c r="C423" i="2"/>
  <c r="D423" i="2" a="1"/>
  <c r="D423" i="2"/>
  <c r="E423" i="2" a="1"/>
  <c r="E423" i="2"/>
  <c r="A424" i="2" a="1"/>
  <c r="A424" i="2"/>
  <c r="B424" i="2" a="1"/>
  <c r="B424" i="2"/>
  <c r="C424" i="2" a="1"/>
  <c r="C424" i="2" s="1"/>
  <c r="D424" i="2" a="1"/>
  <c r="D424" i="2"/>
  <c r="E424" i="2" a="1"/>
  <c r="E424" i="2"/>
  <c r="A425" i="2" a="1"/>
  <c r="A425" i="2"/>
  <c r="B425" i="2" a="1"/>
  <c r="B425" i="2"/>
  <c r="C425" i="2" a="1"/>
  <c r="C425" i="2"/>
  <c r="D425" i="2" a="1"/>
  <c r="D425" i="2"/>
  <c r="E425" i="2" a="1"/>
  <c r="E425" i="2" s="1"/>
  <c r="A426" i="2" a="1"/>
  <c r="A426" i="2"/>
  <c r="B426" i="2" a="1"/>
  <c r="B426" i="2"/>
  <c r="C426" i="2" a="1"/>
  <c r="C426" i="2"/>
  <c r="D426" i="2" a="1"/>
  <c r="D426" i="2"/>
  <c r="E426" i="2" a="1"/>
  <c r="E426" i="2"/>
  <c r="A427" i="2" a="1"/>
  <c r="A427" i="2"/>
  <c r="B427" i="2" a="1"/>
  <c r="B427" i="2" s="1"/>
  <c r="C427" i="2" a="1"/>
  <c r="C427" i="2"/>
  <c r="D427" i="2" a="1"/>
  <c r="D427" i="2"/>
  <c r="E427" i="2" a="1"/>
  <c r="E427" i="2" s="1"/>
  <c r="A428" i="2" a="1"/>
  <c r="A428" i="2"/>
  <c r="B428" i="2" a="1"/>
  <c r="B428" i="2"/>
  <c r="C428" i="2" a="1"/>
  <c r="C428" i="2"/>
  <c r="D428" i="2" a="1"/>
  <c r="D428" i="2" s="1"/>
  <c r="E428" i="2" a="1"/>
  <c r="E428" i="2"/>
  <c r="A429" i="2" a="1"/>
  <c r="A429" i="2"/>
  <c r="B429" i="2" a="1"/>
  <c r="B429" i="2" s="1"/>
  <c r="C429" i="2" a="1"/>
  <c r="C429" i="2"/>
  <c r="D429" i="2" a="1"/>
  <c r="D429" i="2"/>
  <c r="E429" i="2" a="1"/>
  <c r="E429" i="2"/>
  <c r="A430" i="2" a="1"/>
  <c r="A430" i="2" s="1"/>
  <c r="B430" i="2" a="1"/>
  <c r="B430" i="2"/>
  <c r="C430" i="2" a="1"/>
  <c r="C430" i="2"/>
  <c r="D430" i="2" a="1"/>
  <c r="D430" i="2" s="1"/>
  <c r="E430" i="2" a="1"/>
  <c r="E430" i="2"/>
  <c r="A431" i="2" a="1"/>
  <c r="A431" i="2"/>
  <c r="B431" i="2" a="1"/>
  <c r="B431" i="2"/>
  <c r="C431" i="2" a="1"/>
  <c r="C431" i="2" s="1"/>
  <c r="D431" i="2" a="1"/>
  <c r="D431" i="2"/>
  <c r="E431" i="2" a="1"/>
  <c r="E431" i="2"/>
  <c r="A432" i="2" a="1"/>
  <c r="A432" i="2" s="1"/>
  <c r="B432" i="2" a="1"/>
  <c r="B432" i="2"/>
  <c r="C432" i="2" a="1"/>
  <c r="C432" i="2"/>
  <c r="D432" i="2" a="1"/>
  <c r="D432" i="2"/>
  <c r="E432" i="2" a="1"/>
  <c r="E432" i="2" s="1"/>
  <c r="A433" i="2" a="1"/>
  <c r="A433" i="2"/>
  <c r="B433" i="2" a="1"/>
  <c r="B433" i="2"/>
  <c r="C433" i="2" a="1"/>
  <c r="C433" i="2" s="1"/>
  <c r="D433" i="2" a="1"/>
  <c r="D433" i="2"/>
  <c r="E433" i="2" a="1"/>
  <c r="E433" i="2"/>
  <c r="A434" i="2" a="1"/>
  <c r="A434" i="2"/>
  <c r="B434" i="2" a="1"/>
  <c r="B434" i="2" s="1"/>
  <c r="C434" i="2" a="1"/>
  <c r="C434" i="2"/>
  <c r="D434" i="2" a="1"/>
  <c r="D434" i="2"/>
  <c r="E434" i="2" a="1"/>
  <c r="E434" i="2" s="1"/>
  <c r="A435" i="2" a="1"/>
  <c r="A435" i="2"/>
  <c r="B435" i="2" a="1"/>
  <c r="B435" i="2"/>
  <c r="C435" i="2" a="1"/>
  <c r="C435" i="2"/>
  <c r="D435" i="2" a="1"/>
  <c r="D435" i="2" s="1"/>
  <c r="E435" i="2" a="1"/>
  <c r="E435" i="2"/>
  <c r="A436" i="2" a="1"/>
  <c r="A436" i="2"/>
  <c r="B436" i="2" a="1"/>
  <c r="B436" i="2" s="1"/>
  <c r="C436" i="2" a="1"/>
  <c r="C436" i="2"/>
  <c r="D436" i="2" a="1"/>
  <c r="D436" i="2"/>
  <c r="E436" i="2" a="1"/>
  <c r="E436" i="2"/>
  <c r="A437" i="2" a="1"/>
  <c r="A437" i="2" s="1"/>
  <c r="B437" i="2" a="1"/>
  <c r="B437" i="2"/>
  <c r="C437" i="2" a="1"/>
  <c r="C437" i="2"/>
  <c r="D437" i="2" a="1"/>
  <c r="D437" i="2" s="1"/>
  <c r="E437" i="2" a="1"/>
  <c r="E437" i="2"/>
  <c r="A438" i="2" a="1"/>
  <c r="A438" i="2"/>
  <c r="B438" i="2" a="1"/>
  <c r="B438" i="2"/>
  <c r="C438" i="2" a="1"/>
  <c r="C438" i="2" s="1"/>
  <c r="D438" i="2" a="1"/>
  <c r="D438" i="2"/>
  <c r="E438" i="2" a="1"/>
  <c r="E438" i="2"/>
  <c r="A439" i="2" a="1"/>
  <c r="A439" i="2" s="1"/>
  <c r="B439" i="2" a="1"/>
  <c r="B439" i="2"/>
  <c r="C439" i="2" a="1"/>
  <c r="C439" i="2"/>
  <c r="D439" i="2" a="1"/>
  <c r="D439" i="2"/>
  <c r="E439" i="2" a="1"/>
  <c r="E439" i="2" s="1"/>
  <c r="A440" i="2" a="1"/>
  <c r="A440" i="2"/>
  <c r="B440" i="2" a="1"/>
  <c r="B440" i="2"/>
  <c r="C440" i="2" a="1"/>
  <c r="C440" i="2" s="1"/>
  <c r="D440" i="2" a="1"/>
  <c r="D440" i="2"/>
  <c r="E440" i="2" a="1"/>
  <c r="E440" i="2"/>
  <c r="A441" i="2" a="1"/>
  <c r="A441" i="2"/>
  <c r="B441" i="2" a="1"/>
  <c r="B441" i="2" s="1"/>
  <c r="C441" i="2" a="1"/>
  <c r="C441" i="2"/>
  <c r="D441" i="2" a="1"/>
  <c r="D441" i="2"/>
  <c r="E441" i="2" a="1"/>
  <c r="E441" i="2" s="1"/>
  <c r="A442" i="2" a="1"/>
  <c r="A442" i="2"/>
  <c r="B442" i="2" a="1"/>
  <c r="B442" i="2"/>
  <c r="C442" i="2" a="1"/>
  <c r="C442" i="2"/>
  <c r="D442" i="2" a="1"/>
  <c r="D442" i="2" s="1"/>
  <c r="E442" i="2" a="1"/>
  <c r="E442" i="2"/>
  <c r="A443" i="2" a="1"/>
  <c r="A443" i="2"/>
  <c r="B443" i="2" a="1"/>
  <c r="B443" i="2" s="1"/>
  <c r="C443" i="2" a="1"/>
  <c r="C443" i="2"/>
  <c r="D443" i="2" a="1"/>
  <c r="D443" i="2"/>
  <c r="E443" i="2" a="1"/>
  <c r="E443" i="2"/>
  <c r="A444" i="2" a="1"/>
  <c r="A444" i="2" s="1"/>
  <c r="B444" i="2" a="1"/>
  <c r="B444" i="2"/>
  <c r="C444" i="2" a="1"/>
  <c r="C444" i="2"/>
  <c r="D444" i="2" a="1"/>
  <c r="D444" i="2" s="1"/>
  <c r="E444" i="2" a="1"/>
  <c r="E444" i="2"/>
  <c r="A445" i="2" a="1"/>
  <c r="A445" i="2"/>
  <c r="B445" i="2" a="1"/>
  <c r="B445" i="2"/>
  <c r="C445" i="2" a="1"/>
  <c r="C445" i="2" s="1"/>
  <c r="D445" i="2" a="1"/>
  <c r="D445" i="2"/>
  <c r="E445" i="2" a="1"/>
  <c r="E445" i="2"/>
  <c r="A446" i="2" a="1"/>
  <c r="A446" i="2" s="1"/>
  <c r="B446" i="2" a="1"/>
  <c r="B446" i="2"/>
  <c r="C446" i="2" a="1"/>
  <c r="C446" i="2"/>
  <c r="D446" i="2" a="1"/>
  <c r="D446" i="2"/>
  <c r="E446" i="2" a="1"/>
  <c r="E446" i="2" s="1"/>
  <c r="A447" i="2" a="1"/>
  <c r="A447" i="2"/>
  <c r="B447" i="2" a="1"/>
  <c r="B447" i="2"/>
  <c r="C447" i="2" a="1"/>
  <c r="C447" i="2" s="1"/>
  <c r="D447" i="2" a="1"/>
  <c r="D447" i="2"/>
  <c r="E447" i="2" a="1"/>
  <c r="E447" i="2"/>
  <c r="A448" i="2" a="1"/>
  <c r="A448" i="2"/>
  <c r="B448" i="2" a="1"/>
  <c r="B448" i="2" s="1"/>
  <c r="C448" i="2" a="1"/>
  <c r="C448" i="2"/>
  <c r="D448" i="2" a="1"/>
  <c r="D448" i="2"/>
  <c r="E448" i="2" a="1"/>
  <c r="E448" i="2" s="1"/>
  <c r="A449" i="2" a="1"/>
  <c r="A449" i="2"/>
  <c r="B449" i="2" a="1"/>
  <c r="B449" i="2"/>
  <c r="C449" i="2" a="1"/>
  <c r="C449" i="2"/>
  <c r="D449" i="2" a="1"/>
  <c r="D449" i="2" s="1"/>
  <c r="E449" i="2" a="1"/>
  <c r="E449" i="2"/>
  <c r="A450" i="2" a="1"/>
  <c r="A450" i="2"/>
  <c r="B450" i="2" a="1"/>
  <c r="B450" i="2" s="1"/>
  <c r="C450" i="2" a="1"/>
  <c r="C450" i="2"/>
  <c r="D450" i="2" a="1"/>
  <c r="D450" i="2"/>
  <c r="E450" i="2" a="1"/>
  <c r="E450" i="2"/>
  <c r="A451" i="2" a="1"/>
  <c r="A451" i="2" s="1"/>
  <c r="B451" i="2" a="1"/>
  <c r="B451" i="2"/>
  <c r="C451" i="2" a="1"/>
  <c r="C451" i="2"/>
  <c r="D451" i="2" a="1"/>
  <c r="D451" i="2" s="1"/>
  <c r="E451" i="2" a="1"/>
  <c r="E451" i="2"/>
  <c r="A452" i="2" a="1"/>
  <c r="A452" i="2"/>
  <c r="B452" i="2" a="1"/>
  <c r="B452" i="2"/>
  <c r="C452" i="2" a="1"/>
  <c r="C452" i="2" s="1"/>
  <c r="D452" i="2" a="1"/>
  <c r="D452" i="2"/>
  <c r="E452" i="2" a="1"/>
  <c r="E452" i="2"/>
  <c r="A453" i="2" a="1"/>
  <c r="A453" i="2" s="1"/>
  <c r="B453" i="2" a="1"/>
  <c r="B453" i="2"/>
  <c r="C453" i="2" a="1"/>
  <c r="C453" i="2"/>
  <c r="D453" i="2" a="1"/>
  <c r="D453" i="2"/>
  <c r="E453" i="2" a="1"/>
  <c r="E453" i="2" s="1"/>
  <c r="A454" i="2" a="1"/>
  <c r="A454" i="2"/>
  <c r="B454" i="2" a="1"/>
  <c r="B454" i="2"/>
  <c r="C454" i="2" a="1"/>
  <c r="C454" i="2" s="1"/>
  <c r="D454" i="2" a="1"/>
  <c r="D454" i="2"/>
  <c r="E454" i="2" a="1"/>
  <c r="E454" i="2"/>
  <c r="A455" i="2" a="1"/>
  <c r="A455" i="2"/>
  <c r="B455" i="2" a="1"/>
  <c r="B455" i="2" s="1"/>
  <c r="C455" i="2" a="1"/>
  <c r="C455" i="2"/>
  <c r="D455" i="2" a="1"/>
  <c r="D455" i="2"/>
  <c r="E455" i="2" a="1"/>
  <c r="E455" i="2" s="1"/>
  <c r="A456" i="2" a="1"/>
  <c r="A456" i="2"/>
  <c r="B456" i="2" a="1"/>
  <c r="B456" i="2"/>
  <c r="C456" i="2" a="1"/>
  <c r="C456" i="2"/>
  <c r="D456" i="2" a="1"/>
  <c r="D456" i="2" s="1"/>
  <c r="E456" i="2" a="1"/>
  <c r="E456" i="2"/>
  <c r="A457" i="2" a="1"/>
  <c r="A457" i="2"/>
  <c r="B457" i="2" a="1"/>
  <c r="B457" i="2" s="1"/>
  <c r="C457" i="2" a="1"/>
  <c r="C457" i="2"/>
  <c r="D457" i="2" a="1"/>
  <c r="D457" i="2"/>
  <c r="E457" i="2" a="1"/>
  <c r="E457" i="2"/>
  <c r="A458" i="2" a="1"/>
  <c r="A458" i="2" s="1"/>
  <c r="B458" i="2" a="1"/>
  <c r="B458" i="2"/>
  <c r="C458" i="2" a="1"/>
  <c r="C458" i="2"/>
  <c r="D458" i="2" a="1"/>
  <c r="D458" i="2" s="1"/>
  <c r="E458" i="2" a="1"/>
  <c r="E458" i="2"/>
  <c r="A459" i="2" a="1"/>
  <c r="A459" i="2"/>
  <c r="B459" i="2" a="1"/>
  <c r="B459" i="2"/>
  <c r="C459" i="2" a="1"/>
  <c r="C459" i="2" s="1"/>
  <c r="D459" i="2" a="1"/>
  <c r="D459" i="2"/>
  <c r="E459" i="2" a="1"/>
  <c r="E459" i="2"/>
  <c r="A460" i="2" a="1"/>
  <c r="A460" i="2" s="1"/>
  <c r="B460" i="2" a="1"/>
  <c r="B460" i="2"/>
  <c r="C460" i="2" a="1"/>
  <c r="C460" i="2"/>
  <c r="D460" i="2" a="1"/>
  <c r="D460" i="2"/>
  <c r="E460" i="2" a="1"/>
  <c r="E460" i="2" s="1"/>
  <c r="A461" i="2" a="1"/>
  <c r="A461" i="2"/>
  <c r="B461" i="2" a="1"/>
  <c r="B461" i="2"/>
  <c r="C461" i="2" a="1"/>
  <c r="C461" i="2" s="1"/>
  <c r="D461" i="2" a="1"/>
  <c r="D461" i="2"/>
  <c r="E461" i="2" a="1"/>
  <c r="E461" i="2"/>
  <c r="A462" i="2" a="1"/>
  <c r="A462" i="2"/>
  <c r="B462" i="2" a="1"/>
  <c r="B462" i="2" s="1"/>
  <c r="C462" i="2" a="1"/>
  <c r="C462" i="2"/>
  <c r="D462" i="2" a="1"/>
  <c r="D462" i="2"/>
  <c r="E462" i="2" a="1"/>
  <c r="E462" i="2" s="1"/>
  <c r="A463" i="2" a="1"/>
  <c r="A463" i="2"/>
  <c r="B463" i="2" a="1"/>
  <c r="B463" i="2"/>
  <c r="C463" i="2" a="1"/>
  <c r="C463" i="2"/>
  <c r="D463" i="2" a="1"/>
  <c r="D463" i="2" s="1"/>
  <c r="E463" i="2" a="1"/>
  <c r="E463" i="2"/>
  <c r="A464" i="2" a="1"/>
  <c r="A464" i="2"/>
  <c r="B464" i="2" a="1"/>
  <c r="B464" i="2" s="1"/>
  <c r="C464" i="2" a="1"/>
  <c r="C464" i="2"/>
  <c r="D464" i="2" a="1"/>
  <c r="D464" i="2"/>
  <c r="E464" i="2" a="1"/>
  <c r="E464" i="2"/>
  <c r="A465" i="2" a="1"/>
  <c r="A465" i="2" s="1"/>
  <c r="B465" i="2" a="1"/>
  <c r="B465" i="2"/>
  <c r="C465" i="2" a="1"/>
  <c r="C465" i="2"/>
  <c r="D465" i="2" a="1"/>
  <c r="D465" i="2" s="1"/>
  <c r="E465" i="2" a="1"/>
  <c r="E465" i="2"/>
  <c r="A466" i="2" a="1"/>
  <c r="A466" i="2"/>
  <c r="B466" i="2" a="1"/>
  <c r="B466" i="2"/>
  <c r="C466" i="2" a="1"/>
  <c r="C466" i="2" s="1"/>
  <c r="D466" i="2" a="1"/>
  <c r="D466" i="2"/>
  <c r="E466" i="2" a="1"/>
  <c r="E466" i="2"/>
  <c r="A467" i="2" a="1"/>
  <c r="A467" i="2" s="1"/>
  <c r="B467" i="2" a="1"/>
  <c r="B467" i="2"/>
  <c r="C467" i="2" a="1"/>
  <c r="C467" i="2"/>
  <c r="D467" i="2" a="1"/>
  <c r="D467" i="2"/>
  <c r="E467" i="2" a="1"/>
  <c r="E467" i="2" s="1"/>
  <c r="A468" i="2" a="1"/>
  <c r="A468" i="2"/>
  <c r="B468" i="2" a="1"/>
  <c r="B468" i="2"/>
  <c r="C468" i="2" a="1"/>
  <c r="C468" i="2" s="1"/>
  <c r="D468" i="2" a="1"/>
  <c r="D468" i="2"/>
  <c r="E468" i="2" a="1"/>
  <c r="E468" i="2"/>
  <c r="A469" i="2" a="1"/>
  <c r="A469" i="2"/>
  <c r="B469" i="2" a="1"/>
  <c r="B469" i="2" s="1"/>
  <c r="C469" i="2" a="1"/>
  <c r="C469" i="2"/>
  <c r="D469" i="2" a="1"/>
  <c r="D469" i="2"/>
  <c r="E469" i="2" a="1"/>
  <c r="E469" i="2" s="1"/>
  <c r="A470" i="2" a="1"/>
  <c r="A470" i="2"/>
  <c r="B470" i="2" a="1"/>
  <c r="B470" i="2"/>
  <c r="C470" i="2" a="1"/>
  <c r="C470" i="2"/>
  <c r="D470" i="2" a="1"/>
  <c r="D470" i="2" s="1"/>
  <c r="E470" i="2" a="1"/>
  <c r="E470" i="2"/>
  <c r="A471" i="2" a="1"/>
  <c r="A471" i="2"/>
  <c r="B471" i="2" a="1"/>
  <c r="B471" i="2" s="1"/>
  <c r="C471" i="2" a="1"/>
  <c r="C471" i="2"/>
  <c r="D471" i="2" a="1"/>
  <c r="D471" i="2"/>
  <c r="E471" i="2" a="1"/>
  <c r="E471" i="2"/>
  <c r="A472" i="2" a="1"/>
  <c r="A472" i="2" s="1"/>
  <c r="B472" i="2" a="1"/>
  <c r="B472" i="2"/>
  <c r="C472" i="2" a="1"/>
  <c r="C472" i="2"/>
  <c r="D472" i="2" a="1"/>
  <c r="D472" i="2" s="1"/>
  <c r="E472" i="2" a="1"/>
  <c r="E472" i="2"/>
  <c r="A473" i="2" a="1"/>
  <c r="A473" i="2"/>
  <c r="B473" i="2" a="1"/>
  <c r="B473" i="2"/>
  <c r="C473" i="2" a="1"/>
  <c r="C473" i="2" s="1"/>
  <c r="D473" i="2" a="1"/>
  <c r="D473" i="2"/>
  <c r="E473" i="2" a="1"/>
  <c r="E473" i="2"/>
  <c r="A474" i="2" a="1"/>
  <c r="A474" i="2" s="1"/>
  <c r="B474" i="2" a="1"/>
  <c r="B474" i="2"/>
  <c r="C474" i="2" a="1"/>
  <c r="C474" i="2"/>
  <c r="D474" i="2" a="1"/>
  <c r="D474" i="2"/>
  <c r="E474" i="2" a="1"/>
  <c r="E474" i="2" s="1"/>
  <c r="A475" i="2" a="1"/>
  <c r="A475" i="2"/>
  <c r="B475" i="2" a="1"/>
  <c r="B475" i="2"/>
  <c r="C475" i="2" a="1"/>
  <c r="C475" i="2" s="1"/>
  <c r="D475" i="2" a="1"/>
  <c r="D475" i="2"/>
  <c r="E475" i="2" a="1"/>
  <c r="E475" i="2"/>
  <c r="A476" i="2" a="1"/>
  <c r="A476" i="2"/>
  <c r="B476" i="2" a="1"/>
  <c r="B476" i="2" s="1"/>
  <c r="C476" i="2" a="1"/>
  <c r="C476" i="2"/>
  <c r="D476" i="2" a="1"/>
  <c r="D476" i="2"/>
  <c r="E476" i="2" a="1"/>
  <c r="E476" i="2" s="1"/>
  <c r="A477" i="2" a="1"/>
  <c r="A477" i="2"/>
  <c r="B477" i="2" a="1"/>
  <c r="B477" i="2"/>
  <c r="C477" i="2" a="1"/>
  <c r="C477" i="2"/>
  <c r="D477" i="2" a="1"/>
  <c r="D477" i="2" s="1"/>
  <c r="E477" i="2" a="1"/>
  <c r="E477" i="2"/>
  <c r="A478" i="2" a="1"/>
  <c r="A478" i="2"/>
  <c r="B478" i="2" a="1"/>
  <c r="B478" i="2" s="1"/>
  <c r="C478" i="2" a="1"/>
  <c r="C478" i="2"/>
  <c r="D478" i="2" a="1"/>
  <c r="D478" i="2"/>
  <c r="E478" i="2" a="1"/>
  <c r="E478" i="2"/>
  <c r="A479" i="2" a="1"/>
  <c r="A479" i="2" s="1"/>
  <c r="B479" i="2" a="1"/>
  <c r="B479" i="2"/>
  <c r="C479" i="2" a="1"/>
  <c r="C479" i="2"/>
  <c r="D479" i="2" a="1"/>
  <c r="D479" i="2" s="1"/>
  <c r="E479" i="2" a="1"/>
  <c r="E479" i="2"/>
  <c r="A480" i="2" a="1"/>
  <c r="A480" i="2"/>
  <c r="B480" i="2" a="1"/>
  <c r="B480" i="2"/>
  <c r="C480" i="2" a="1"/>
  <c r="C480" i="2" s="1"/>
  <c r="D480" i="2" a="1"/>
  <c r="D480" i="2"/>
  <c r="E480" i="2" a="1"/>
  <c r="E480" i="2"/>
  <c r="A481" i="2" a="1"/>
  <c r="A481" i="2" s="1"/>
  <c r="B481" i="2" a="1"/>
  <c r="B481" i="2"/>
  <c r="C481" i="2" a="1"/>
  <c r="C481" i="2"/>
  <c r="D481" i="2" a="1"/>
  <c r="D481" i="2"/>
  <c r="E481" i="2" a="1"/>
  <c r="E481" i="2" s="1"/>
  <c r="A482" i="2" a="1"/>
  <c r="A482" i="2"/>
  <c r="B482" i="2" a="1"/>
  <c r="B482" i="2"/>
  <c r="C482" i="2" a="1"/>
  <c r="C482" i="2" s="1"/>
  <c r="D482" i="2" a="1"/>
  <c r="D482" i="2"/>
  <c r="E482" i="2" a="1"/>
  <c r="E482" i="2"/>
  <c r="A483" i="2" a="1"/>
  <c r="A483" i="2"/>
  <c r="B483" i="2" a="1"/>
  <c r="B483" i="2" s="1"/>
  <c r="C483" i="2" a="1"/>
  <c r="C483" i="2"/>
  <c r="D483" i="2" a="1"/>
  <c r="D483" i="2"/>
  <c r="E483" i="2" a="1"/>
  <c r="E483" i="2" s="1"/>
  <c r="A484" i="2" a="1"/>
  <c r="A484" i="2"/>
  <c r="B484" i="2" a="1"/>
  <c r="B484" i="2"/>
  <c r="C484" i="2" a="1"/>
  <c r="C484" i="2"/>
  <c r="D484" i="2" a="1"/>
  <c r="D484" i="2" s="1"/>
  <c r="E484" i="2" a="1"/>
  <c r="E484" i="2"/>
  <c r="A485" i="2" a="1"/>
  <c r="A485" i="2"/>
  <c r="B485" i="2" a="1"/>
  <c r="B485" i="2" s="1"/>
  <c r="C485" i="2" a="1"/>
  <c r="C485" i="2"/>
  <c r="D485" i="2" a="1"/>
  <c r="D485" i="2"/>
  <c r="E485" i="2" a="1"/>
  <c r="E485" i="2"/>
  <c r="A486" i="2" a="1"/>
  <c r="A486" i="2" s="1"/>
  <c r="B486" i="2" a="1"/>
  <c r="B486" i="2"/>
  <c r="C486" i="2" a="1"/>
  <c r="C486" i="2"/>
  <c r="D486" i="2" a="1"/>
  <c r="D486" i="2" s="1"/>
  <c r="E486" i="2" a="1"/>
  <c r="E486" i="2"/>
  <c r="A487" i="2" a="1"/>
  <c r="A487" i="2"/>
  <c r="B487" i="2" a="1"/>
  <c r="B487" i="2"/>
  <c r="C487" i="2" a="1"/>
  <c r="C487" i="2" s="1"/>
  <c r="D487" i="2" a="1"/>
  <c r="D487" i="2"/>
  <c r="E487" i="2" a="1"/>
  <c r="E487" i="2"/>
  <c r="A488" i="2" a="1"/>
  <c r="A488" i="2" s="1"/>
  <c r="B488" i="2" a="1"/>
  <c r="B488" i="2"/>
  <c r="C488" i="2" a="1"/>
  <c r="C488" i="2"/>
  <c r="D488" i="2" a="1"/>
  <c r="D488" i="2"/>
  <c r="E488" i="2" a="1"/>
  <c r="E488" i="2" s="1"/>
  <c r="A489" i="2" a="1"/>
  <c r="A489" i="2"/>
  <c r="B489" i="2" a="1"/>
  <c r="B489" i="2"/>
  <c r="C489" i="2" a="1"/>
  <c r="C489" i="2" s="1"/>
  <c r="D489" i="2" a="1"/>
  <c r="D489" i="2"/>
  <c r="E489" i="2" a="1"/>
  <c r="E489" i="2"/>
  <c r="A490" i="2" a="1"/>
  <c r="A490" i="2"/>
  <c r="B490" i="2" a="1"/>
  <c r="B490" i="2" s="1"/>
  <c r="C490" i="2" a="1"/>
  <c r="C490" i="2"/>
  <c r="D490" i="2" a="1"/>
  <c r="D490" i="2"/>
  <c r="E490" i="2" a="1"/>
  <c r="E490" i="2" s="1"/>
  <c r="A491" i="2" a="1"/>
  <c r="A491" i="2"/>
  <c r="B491" i="2" a="1"/>
  <c r="B491" i="2"/>
  <c r="C491" i="2" a="1"/>
  <c r="C491" i="2"/>
  <c r="D491" i="2" a="1"/>
  <c r="D491" i="2" s="1"/>
  <c r="E491" i="2" a="1"/>
  <c r="E491" i="2"/>
  <c r="A492" i="2" a="1"/>
  <c r="A492" i="2"/>
  <c r="B492" i="2" a="1"/>
  <c r="B492" i="2" s="1"/>
  <c r="C492" i="2" a="1"/>
  <c r="C492" i="2"/>
  <c r="D492" i="2" a="1"/>
  <c r="D492" i="2"/>
  <c r="E492" i="2" a="1"/>
  <c r="E492" i="2"/>
  <c r="A493" i="2" a="1"/>
  <c r="A493" i="2" s="1"/>
  <c r="B493" i="2" a="1"/>
  <c r="B493" i="2"/>
  <c r="C493" i="2" a="1"/>
  <c r="C493" i="2"/>
  <c r="D493" i="2" a="1"/>
  <c r="D493" i="2" s="1"/>
  <c r="E493" i="2" a="1"/>
  <c r="E493" i="2"/>
  <c r="A494" i="2" a="1"/>
  <c r="A494" i="2"/>
  <c r="B494" i="2" a="1"/>
  <c r="B494" i="2"/>
  <c r="C494" i="2" a="1"/>
  <c r="C494" i="2" s="1"/>
  <c r="D494" i="2" a="1"/>
  <c r="D494" i="2"/>
  <c r="E494" i="2" a="1"/>
  <c r="E494" i="2"/>
  <c r="A495" i="2" a="1"/>
  <c r="A495" i="2" s="1"/>
  <c r="B495" i="2" a="1"/>
  <c r="B495" i="2"/>
  <c r="C495" i="2" a="1"/>
  <c r="C495" i="2"/>
  <c r="D495" i="2" a="1"/>
  <c r="D495" i="2"/>
  <c r="E495" i="2" a="1"/>
  <c r="E495" i="2" s="1"/>
  <c r="A496" i="2" a="1"/>
  <c r="A496" i="2"/>
  <c r="B496" i="2" a="1"/>
  <c r="B496" i="2"/>
  <c r="C496" i="2" a="1"/>
  <c r="C496" i="2" s="1"/>
  <c r="D496" i="2" a="1"/>
  <c r="D496" i="2"/>
  <c r="E496" i="2" a="1"/>
  <c r="E496" i="2"/>
  <c r="A497" i="2" a="1"/>
  <c r="A497" i="2"/>
  <c r="B497" i="2" a="1"/>
  <c r="B497" i="2" s="1"/>
  <c r="C497" i="2" a="1"/>
  <c r="C497" i="2"/>
  <c r="D497" i="2" a="1"/>
  <c r="D497" i="2"/>
  <c r="E497" i="2" a="1"/>
  <c r="E497" i="2" s="1"/>
  <c r="A498" i="2" a="1"/>
  <c r="A498" i="2"/>
  <c r="B498" i="2" a="1"/>
  <c r="B498" i="2"/>
  <c r="C498" i="2" a="1"/>
  <c r="C498" i="2"/>
  <c r="D498" i="2" a="1"/>
  <c r="D498" i="2" s="1"/>
  <c r="E498" i="2" a="1"/>
  <c r="E498" i="2"/>
  <c r="A499" i="2" a="1"/>
  <c r="A499" i="2"/>
  <c r="B499" i="2" a="1"/>
  <c r="B499" i="2" s="1"/>
  <c r="C499" i="2" a="1"/>
  <c r="C499" i="2"/>
  <c r="D499" i="2" a="1"/>
  <c r="D499" i="2"/>
  <c r="E499" i="2" a="1"/>
  <c r="E499" i="2"/>
  <c r="A500" i="2" a="1"/>
  <c r="A500" i="2" s="1"/>
  <c r="B500" i="2" a="1"/>
  <c r="B500" i="2"/>
  <c r="C500" i="2" a="1"/>
  <c r="C500" i="2"/>
  <c r="D500" i="2" a="1"/>
  <c r="D500" i="2" s="1"/>
  <c r="E500" i="2" a="1"/>
  <c r="E500" i="2" s="1"/>
  <c r="A501" i="2" a="1"/>
  <c r="A501" i="2"/>
  <c r="B501" i="2" a="1"/>
  <c r="B501" i="2"/>
  <c r="C501" i="2" a="1"/>
  <c r="C501" i="2" s="1"/>
  <c r="D501" i="2" a="1"/>
  <c r="D501" i="2"/>
  <c r="E501" i="2" a="1"/>
  <c r="E501" i="2"/>
  <c r="A502" i="2" a="1"/>
  <c r="A502" i="2" s="1"/>
  <c r="B502" i="2" a="1"/>
  <c r="B502" i="2" s="1"/>
  <c r="C502" i="2" a="1"/>
  <c r="C502" i="2"/>
  <c r="D502" i="2" a="1"/>
  <c r="D502" i="2"/>
  <c r="E502" i="2" a="1"/>
  <c r="E502" i="2" s="1"/>
  <c r="A503" i="2" a="1"/>
  <c r="A503" i="2"/>
  <c r="B503" i="2" a="1"/>
  <c r="B503" i="2"/>
  <c r="C503" i="2" a="1"/>
  <c r="C503" i="2" s="1"/>
  <c r="D503" i="2" a="1"/>
  <c r="D503" i="2" s="1"/>
  <c r="E503" i="2" a="1"/>
  <c r="E503" i="2"/>
  <c r="A504" i="2" a="1"/>
  <c r="A504" i="2"/>
  <c r="B504" i="2" a="1"/>
  <c r="B504" i="2" s="1"/>
  <c r="C504" i="2" a="1"/>
  <c r="C504" i="2"/>
  <c r="D504" i="2" a="1"/>
  <c r="D504" i="2"/>
  <c r="E504" i="2" a="1"/>
  <c r="E504" i="2" s="1"/>
  <c r="A505" i="2" a="1"/>
  <c r="A505" i="2" s="1"/>
  <c r="B505" i="2" a="1"/>
  <c r="B505" i="2" s="1"/>
  <c r="C505" i="2" a="1"/>
  <c r="C505" i="2"/>
  <c r="D505" i="2" a="1"/>
  <c r="D505" i="2" s="1"/>
  <c r="E505" i="2" a="1"/>
  <c r="E505" i="2"/>
  <c r="A506" i="2" a="1"/>
  <c r="A506" i="2"/>
  <c r="B506" i="2" a="1"/>
  <c r="B506" i="2" s="1"/>
  <c r="C506" i="2" a="1"/>
  <c r="C506" i="2" s="1"/>
  <c r="D506" i="2" a="1"/>
  <c r="D506" i="2" s="1"/>
  <c r="E506" i="2" a="1"/>
  <c r="E506" i="2"/>
  <c r="A507" i="2" a="1"/>
  <c r="A507" i="2" s="1"/>
  <c r="B507" i="2" a="1"/>
  <c r="B507" i="2"/>
  <c r="C507" i="2" a="1"/>
  <c r="C507" i="2"/>
  <c r="D507" i="2" a="1"/>
  <c r="D507" i="2" s="1"/>
  <c r="E507" i="2" a="1"/>
  <c r="E507" i="2" s="1"/>
  <c r="A508" i="2" a="1"/>
  <c r="A508" i="2" s="1"/>
  <c r="B508" i="2" a="1"/>
  <c r="B508" i="2"/>
  <c r="C508" i="2" a="1"/>
  <c r="C508" i="2" s="1"/>
  <c r="D508" i="2" a="1"/>
  <c r="D508" i="2"/>
  <c r="E508" i="2" a="1"/>
  <c r="E508" i="2"/>
  <c r="A509" i="2" a="1"/>
  <c r="A509" i="2" s="1"/>
  <c r="B509" i="2" a="1"/>
  <c r="B509" i="2" s="1"/>
  <c r="C509" i="2" a="1"/>
  <c r="C509" i="2" s="1"/>
  <c r="D509" i="2" a="1"/>
  <c r="D509" i="2"/>
  <c r="E509" i="2" a="1"/>
  <c r="E509" i="2" s="1"/>
  <c r="A510" i="2" a="1"/>
  <c r="A510" i="2"/>
  <c r="B510" i="2" a="1"/>
  <c r="B510" i="2"/>
  <c r="C510" i="2" a="1"/>
  <c r="C510" i="2" s="1"/>
  <c r="D510" i="2" a="1"/>
  <c r="D510" i="2" s="1"/>
  <c r="E510" i="2" a="1"/>
  <c r="E510" i="2" s="1"/>
  <c r="A511" i="2" a="1"/>
  <c r="A511" i="2"/>
  <c r="B511" i="2" a="1"/>
  <c r="B511" i="2" s="1"/>
  <c r="C511" i="2" a="1"/>
  <c r="C511" i="2"/>
  <c r="D511" i="2" a="1"/>
  <c r="D511" i="2"/>
  <c r="E511" i="2" a="1"/>
  <c r="E511" i="2" s="1"/>
  <c r="A512" i="2" a="1"/>
  <c r="A512" i="2" s="1"/>
  <c r="B512" i="2" a="1"/>
  <c r="B512" i="2" s="1"/>
  <c r="C512" i="2" a="1"/>
  <c r="C512" i="2"/>
  <c r="D512" i="2" a="1"/>
  <c r="D512" i="2" s="1"/>
  <c r="E512" i="2" a="1"/>
  <c r="E512" i="2"/>
  <c r="A513" i="2" a="1"/>
  <c r="A513" i="2"/>
  <c r="B513" i="2" a="1"/>
  <c r="B513" i="2" s="1"/>
  <c r="C513" i="2" a="1"/>
  <c r="C513" i="2" s="1"/>
  <c r="D513" i="2" a="1"/>
  <c r="D513" i="2" s="1"/>
  <c r="E513" i="2" a="1"/>
  <c r="E513" i="2"/>
  <c r="A514" i="2" a="1"/>
  <c r="A514" i="2" s="1"/>
  <c r="B514" i="2" a="1"/>
  <c r="B514" i="2"/>
  <c r="C514" i="2" a="1"/>
  <c r="C514" i="2"/>
  <c r="D514" i="2" a="1"/>
  <c r="D514" i="2" s="1"/>
  <c r="E514" i="2" a="1"/>
  <c r="E514" i="2" s="1"/>
  <c r="A515" i="2" a="1"/>
  <c r="A515" i="2" s="1"/>
  <c r="B515" i="2" a="1"/>
  <c r="B515" i="2"/>
  <c r="C515" i="2" a="1"/>
  <c r="C515" i="2" s="1"/>
  <c r="D515" i="2" a="1"/>
  <c r="D515" i="2"/>
  <c r="E515" i="2" a="1"/>
  <c r="E515" i="2"/>
  <c r="A516" i="2" a="1"/>
  <c r="A516" i="2" s="1"/>
  <c r="B516" i="2" a="1"/>
  <c r="B516" i="2" s="1"/>
  <c r="C516" i="2" a="1"/>
  <c r="C516" i="2" s="1"/>
  <c r="D516" i="2" a="1"/>
  <c r="D516" i="2"/>
  <c r="E516" i="2" a="1"/>
  <c r="E516" i="2" s="1"/>
  <c r="A517" i="2" a="1"/>
  <c r="A517" i="2"/>
  <c r="B517" i="2" a="1"/>
  <c r="B517" i="2"/>
  <c r="C517" i="2" a="1"/>
  <c r="C517" i="2" s="1"/>
  <c r="D517" i="2" a="1"/>
  <c r="D517" i="2" s="1"/>
  <c r="E517" i="2" a="1"/>
  <c r="E517" i="2" s="1"/>
  <c r="A518" i="2" a="1"/>
  <c r="A518" i="2"/>
  <c r="B518" i="2" a="1"/>
  <c r="B518" i="2" s="1"/>
  <c r="C518" i="2" a="1"/>
  <c r="C518" i="2"/>
  <c r="D518" i="2" a="1"/>
  <c r="D518" i="2"/>
  <c r="E518" i="2" a="1"/>
  <c r="E518" i="2" s="1"/>
  <c r="A519" i="2" a="1"/>
  <c r="A519" i="2" s="1"/>
  <c r="B519" i="2" a="1"/>
  <c r="B519" i="2" s="1"/>
  <c r="C519" i="2" a="1"/>
  <c r="C519" i="2"/>
  <c r="D519" i="2" a="1"/>
  <c r="D519" i="2" s="1"/>
  <c r="E519" i="2" a="1"/>
  <c r="E519" i="2"/>
  <c r="A520" i="2" a="1"/>
  <c r="A520" i="2"/>
  <c r="B520" i="2" a="1"/>
  <c r="B520" i="2" s="1"/>
  <c r="C520" i="2" a="1"/>
  <c r="C520" i="2" s="1"/>
  <c r="D520" i="2" a="1"/>
  <c r="D520" i="2" s="1"/>
  <c r="E520" i="2" a="1"/>
  <c r="E520" i="2"/>
  <c r="A521" i="2" a="1"/>
  <c r="A521" i="2" s="1"/>
  <c r="B521" i="2" a="1"/>
  <c r="B521" i="2"/>
  <c r="C521" i="2" a="1"/>
  <c r="C521" i="2"/>
  <c r="D521" i="2" a="1"/>
  <c r="D521" i="2" s="1"/>
  <c r="E521" i="2" a="1"/>
  <c r="E521" i="2" s="1"/>
  <c r="A522" i="2" a="1"/>
  <c r="A522" i="2" s="1"/>
  <c r="B522" i="2" a="1"/>
  <c r="B522" i="2"/>
  <c r="C522" i="2" a="1"/>
  <c r="C522" i="2" s="1"/>
  <c r="D522" i="2" a="1"/>
  <c r="D522" i="2"/>
  <c r="E522" i="2" a="1"/>
  <c r="E522" i="2"/>
  <c r="A523" i="2" a="1"/>
  <c r="A523" i="2" s="1"/>
  <c r="B523" i="2" a="1"/>
  <c r="B523" i="2" s="1"/>
  <c r="C523" i="2" a="1"/>
  <c r="C523" i="2" s="1"/>
  <c r="D523" i="2" a="1"/>
  <c r="D523" i="2"/>
  <c r="E523" i="2" a="1"/>
  <c r="E523" i="2" s="1"/>
  <c r="A524" i="2" a="1"/>
  <c r="A524" i="2"/>
  <c r="B524" i="2" a="1"/>
  <c r="B524" i="2"/>
  <c r="C524" i="2" a="1"/>
  <c r="C524" i="2" s="1"/>
  <c r="D524" i="2" a="1"/>
  <c r="D524" i="2" s="1"/>
  <c r="E524" i="2" a="1"/>
  <c r="E524" i="2" s="1"/>
  <c r="A525" i="2" a="1"/>
  <c r="A525" i="2"/>
  <c r="B525" i="2" a="1"/>
  <c r="B525" i="2" s="1"/>
  <c r="C525" i="2" a="1"/>
  <c r="C525" i="2"/>
  <c r="D525" i="2" a="1"/>
  <c r="D525" i="2"/>
  <c r="E525" i="2" a="1"/>
  <c r="E525" i="2" s="1"/>
  <c r="A526" i="2" a="1"/>
  <c r="A526" i="2" s="1"/>
  <c r="B526" i="2" a="1"/>
  <c r="B526" i="2" s="1"/>
  <c r="C526" i="2" a="1"/>
  <c r="C526" i="2"/>
  <c r="D526" i="2" a="1"/>
  <c r="D526" i="2" s="1"/>
  <c r="E526" i="2" a="1"/>
  <c r="E526" i="2"/>
  <c r="A527" i="2" a="1"/>
  <c r="A527" i="2"/>
  <c r="B527" i="2" a="1"/>
  <c r="B527" i="2" s="1"/>
  <c r="C527" i="2" a="1"/>
  <c r="C527" i="2" s="1"/>
  <c r="D527" i="2" a="1"/>
  <c r="D527" i="2" s="1"/>
  <c r="E527" i="2" a="1"/>
  <c r="E527" i="2"/>
  <c r="A528" i="2" a="1"/>
  <c r="A528" i="2" s="1"/>
  <c r="B528" i="2" a="1"/>
  <c r="B528" i="2"/>
  <c r="C528" i="2" a="1"/>
  <c r="C528" i="2"/>
  <c r="D528" i="2" a="1"/>
  <c r="D528" i="2" s="1"/>
  <c r="E528" i="2" a="1"/>
  <c r="E528" i="2" s="1"/>
  <c r="A529" i="2" a="1"/>
  <c r="A529" i="2" s="1"/>
  <c r="B529" i="2" a="1"/>
  <c r="B529" i="2"/>
  <c r="C529" i="2" a="1"/>
  <c r="C529" i="2" s="1"/>
  <c r="D529" i="2" a="1"/>
  <c r="D529" i="2"/>
  <c r="E529" i="2" a="1"/>
  <c r="E529" i="2"/>
  <c r="A530" i="2" a="1"/>
  <c r="A530" i="2" s="1"/>
  <c r="B530" i="2" a="1"/>
  <c r="B530" i="2" s="1"/>
  <c r="C530" i="2" a="1"/>
  <c r="C530" i="2" s="1"/>
  <c r="D530" i="2" a="1"/>
  <c r="D530" i="2"/>
  <c r="E530" i="2" a="1"/>
  <c r="E530" i="2" s="1"/>
  <c r="A531" i="2" a="1"/>
  <c r="A531" i="2"/>
  <c r="B531" i="2" a="1"/>
  <c r="B531" i="2"/>
  <c r="C531" i="2" a="1"/>
  <c r="C531" i="2" s="1"/>
  <c r="D531" i="2" a="1"/>
  <c r="D531" i="2" s="1"/>
  <c r="E531" i="2" a="1"/>
  <c r="E531" i="2" s="1"/>
  <c r="A532" i="2" a="1"/>
  <c r="A532" i="2"/>
  <c r="B532" i="2" a="1"/>
  <c r="B532" i="2" s="1"/>
  <c r="C532" i="2" a="1"/>
  <c r="C532" i="2"/>
  <c r="D532" i="2" a="1"/>
  <c r="D532" i="2"/>
  <c r="E532" i="2" a="1"/>
  <c r="E532" i="2" s="1"/>
  <c r="A533" i="2" a="1"/>
  <c r="A533" i="2" s="1"/>
  <c r="B533" i="2" a="1"/>
  <c r="B533" i="2" s="1"/>
  <c r="C533" i="2" a="1"/>
  <c r="C533" i="2"/>
  <c r="D533" i="2" a="1"/>
  <c r="D533" i="2" s="1"/>
  <c r="E533" i="2" a="1"/>
  <c r="E533" i="2"/>
  <c r="A534" i="2" a="1"/>
  <c r="A534" i="2"/>
  <c r="B534" i="2" a="1"/>
  <c r="B534" i="2" s="1"/>
  <c r="C534" i="2" a="1"/>
  <c r="C534" i="2" s="1"/>
  <c r="D534" i="2" a="1"/>
  <c r="D534" i="2" s="1"/>
  <c r="E534" i="2" a="1"/>
  <c r="E534" i="2"/>
  <c r="A535" i="2" a="1"/>
  <c r="A535" i="2" s="1"/>
  <c r="B535" i="2" a="1"/>
  <c r="B535" i="2"/>
  <c r="C535" i="2" a="1"/>
  <c r="C535" i="2"/>
  <c r="D535" i="2" a="1"/>
  <c r="D535" i="2" s="1"/>
  <c r="E535" i="2" a="1"/>
  <c r="E535" i="2" s="1"/>
  <c r="A536" i="2" a="1"/>
  <c r="A536" i="2" s="1"/>
  <c r="B536" i="2" a="1"/>
  <c r="B536" i="2"/>
  <c r="C536" i="2" a="1"/>
  <c r="C536" i="2" s="1"/>
  <c r="D536" i="2" a="1"/>
  <c r="D536" i="2"/>
  <c r="E536" i="2" a="1"/>
  <c r="E536" i="2"/>
  <c r="A537" i="2" a="1"/>
  <c r="A537" i="2" s="1"/>
  <c r="B537" i="2" a="1"/>
  <c r="B537" i="2" s="1"/>
  <c r="C537" i="2" a="1"/>
  <c r="C537" i="2" s="1"/>
  <c r="D537" i="2" a="1"/>
  <c r="D537" i="2"/>
  <c r="E537" i="2" a="1"/>
  <c r="E537" i="2" s="1"/>
  <c r="A538" i="2" a="1"/>
  <c r="A538" i="2"/>
  <c r="B538" i="2" a="1"/>
  <c r="B538" i="2"/>
  <c r="C538" i="2" a="1"/>
  <c r="C538" i="2" s="1"/>
  <c r="D538" i="2" a="1"/>
  <c r="D538" i="2" s="1"/>
  <c r="E538" i="2" a="1"/>
  <c r="E538" i="2" s="1"/>
  <c r="A539" i="2" a="1"/>
  <c r="A539" i="2"/>
  <c r="B539" i="2" a="1"/>
  <c r="B539" i="2" s="1"/>
  <c r="C539" i="2" a="1"/>
  <c r="C539" i="2"/>
  <c r="D539" i="2" a="1"/>
  <c r="D539" i="2"/>
  <c r="E539" i="2" a="1"/>
  <c r="E539" i="2" s="1"/>
  <c r="A540" i="2" a="1"/>
  <c r="A540" i="2" s="1"/>
  <c r="B540" i="2" a="1"/>
  <c r="B540" i="2" s="1"/>
  <c r="C540" i="2" a="1"/>
  <c r="C540" i="2"/>
  <c r="D540" i="2" a="1"/>
  <c r="D540" i="2" s="1"/>
  <c r="E540" i="2" a="1"/>
  <c r="E540" i="2"/>
  <c r="A541" i="2" a="1"/>
  <c r="A541" i="2"/>
  <c r="B541" i="2" a="1"/>
  <c r="B541" i="2" s="1"/>
  <c r="C541" i="2" a="1"/>
  <c r="C541" i="2" s="1"/>
  <c r="D541" i="2" a="1"/>
  <c r="D541" i="2" s="1"/>
  <c r="E541" i="2" a="1"/>
  <c r="E541" i="2"/>
  <c r="A542" i="2" a="1"/>
  <c r="A542" i="2" s="1"/>
  <c r="B542" i="2" a="1"/>
  <c r="B542" i="2"/>
  <c r="C542" i="2" a="1"/>
  <c r="C542" i="2"/>
  <c r="D542" i="2" a="1"/>
  <c r="D542" i="2" s="1"/>
  <c r="E542" i="2" a="1"/>
  <c r="E542" i="2" s="1"/>
  <c r="A543" i="2" a="1"/>
  <c r="A543" i="2" s="1"/>
  <c r="B543" i="2" a="1"/>
  <c r="B543" i="2"/>
  <c r="C543" i="2" a="1"/>
  <c r="C543" i="2" s="1"/>
  <c r="D543" i="2" a="1"/>
  <c r="D543" i="2"/>
  <c r="E543" i="2" a="1"/>
  <c r="E543" i="2"/>
  <c r="A544" i="2" a="1"/>
  <c r="A544" i="2" s="1"/>
  <c r="B544" i="2" a="1"/>
  <c r="B544" i="2" s="1"/>
  <c r="C544" i="2" a="1"/>
  <c r="C544" i="2" s="1"/>
  <c r="D544" i="2" a="1"/>
  <c r="D544" i="2"/>
  <c r="E544" i="2" a="1"/>
  <c r="E544" i="2" s="1"/>
  <c r="A545" i="2" a="1"/>
  <c r="A545" i="2"/>
  <c r="B545" i="2" a="1"/>
  <c r="B545" i="2"/>
  <c r="C545" i="2" a="1"/>
  <c r="C545" i="2" s="1"/>
  <c r="D545" i="2" a="1"/>
  <c r="D545" i="2" s="1"/>
  <c r="E545" i="2" a="1"/>
  <c r="E545" i="2" s="1"/>
  <c r="A546" i="2" a="1"/>
  <c r="A546" i="2"/>
  <c r="B546" i="2" a="1"/>
  <c r="B546" i="2" s="1"/>
  <c r="C546" i="2" a="1"/>
  <c r="C546" i="2"/>
  <c r="D546" i="2" a="1"/>
  <c r="D546" i="2"/>
  <c r="E546" i="2" a="1"/>
  <c r="E546" i="2" s="1"/>
  <c r="A547" i="2" a="1"/>
  <c r="A547" i="2" s="1"/>
  <c r="B547" i="2" a="1"/>
  <c r="B547" i="2" s="1"/>
  <c r="C547" i="2" a="1"/>
  <c r="C547" i="2"/>
  <c r="D547" i="2" a="1"/>
  <c r="D547" i="2" s="1"/>
  <c r="E547" i="2" a="1"/>
  <c r="E547" i="2"/>
  <c r="A548" i="2" a="1"/>
  <c r="A548" i="2"/>
  <c r="B548" i="2" a="1"/>
  <c r="B548" i="2" s="1"/>
  <c r="C548" i="2" a="1"/>
  <c r="C548" i="2" s="1"/>
  <c r="D548" i="2" a="1"/>
  <c r="D548" i="2" s="1"/>
  <c r="E548" i="2" a="1"/>
  <c r="E548" i="2"/>
  <c r="A549" i="2" a="1"/>
  <c r="A549" i="2" s="1"/>
  <c r="B549" i="2" a="1"/>
  <c r="B549" i="2"/>
  <c r="C549" i="2" a="1"/>
  <c r="C549" i="2"/>
  <c r="D549" i="2" a="1"/>
  <c r="D549" i="2" s="1"/>
  <c r="E549" i="2" a="1"/>
  <c r="E549" i="2" s="1"/>
  <c r="A550" i="2" a="1"/>
  <c r="A550" i="2" s="1"/>
  <c r="B550" i="2" a="1"/>
  <c r="B550" i="2"/>
  <c r="C550" i="2" a="1"/>
  <c r="C550" i="2" s="1"/>
  <c r="D550" i="2" a="1"/>
  <c r="D550" i="2"/>
  <c r="E550" i="2" a="1"/>
  <c r="E550" i="2"/>
  <c r="A551" i="2" a="1"/>
  <c r="A551" i="2" s="1"/>
  <c r="B551" i="2" a="1"/>
  <c r="B551" i="2" s="1"/>
  <c r="C551" i="2" a="1"/>
  <c r="C551" i="2" s="1"/>
  <c r="D551" i="2" a="1"/>
  <c r="D551" i="2"/>
  <c r="E551" i="2" a="1"/>
  <c r="E551" i="2" s="1"/>
  <c r="A552" i="2" a="1"/>
  <c r="A552" i="2"/>
  <c r="B552" i="2" a="1"/>
  <c r="B552" i="2"/>
  <c r="C552" i="2" a="1"/>
  <c r="C552" i="2" s="1"/>
  <c r="D552" i="2" a="1"/>
  <c r="D552" i="2" s="1"/>
  <c r="E552" i="2" a="1"/>
  <c r="E552" i="2" s="1"/>
  <c r="A553" i="2" a="1"/>
  <c r="A553" i="2"/>
  <c r="B553" i="2" a="1"/>
  <c r="B553" i="2" s="1"/>
  <c r="C553" i="2" a="1"/>
  <c r="C553" i="2"/>
  <c r="D553" i="2" a="1"/>
  <c r="D553" i="2"/>
  <c r="E553" i="2" a="1"/>
  <c r="E553" i="2" s="1"/>
  <c r="A554" i="2" a="1"/>
  <c r="A554" i="2" s="1"/>
  <c r="B554" i="2" a="1"/>
  <c r="B554" i="2" s="1"/>
  <c r="C554" i="2" a="1"/>
  <c r="C554" i="2"/>
  <c r="D554" i="2" a="1"/>
  <c r="D554" i="2" s="1"/>
  <c r="E554" i="2" a="1"/>
  <c r="E554" i="2"/>
  <c r="A555" i="2" a="1"/>
  <c r="A555" i="2"/>
  <c r="B555" i="2" a="1"/>
  <c r="B555" i="2" s="1"/>
  <c r="C555" i="2" a="1"/>
  <c r="C555" i="2" s="1"/>
  <c r="D555" i="2" a="1"/>
  <c r="D555" i="2" s="1"/>
  <c r="E555" i="2" a="1"/>
  <c r="E555" i="2"/>
  <c r="A556" i="2" a="1"/>
  <c r="A556" i="2" s="1"/>
  <c r="B556" i="2" a="1"/>
  <c r="B556" i="2"/>
  <c r="C556" i="2" a="1"/>
  <c r="C556" i="2"/>
  <c r="D556" i="2" a="1"/>
  <c r="D556" i="2" s="1"/>
  <c r="E556" i="2" a="1"/>
  <c r="E556" i="2" s="1"/>
  <c r="A557" i="2" a="1"/>
  <c r="A557" i="2" s="1"/>
  <c r="B557" i="2" a="1"/>
  <c r="B557" i="2"/>
  <c r="C557" i="2" a="1"/>
  <c r="C557" i="2" s="1"/>
  <c r="D557" i="2" a="1"/>
  <c r="D557" i="2"/>
  <c r="E557" i="2" a="1"/>
  <c r="E557" i="2"/>
  <c r="A558" i="2" a="1"/>
  <c r="A558" i="2" s="1"/>
  <c r="B558" i="2" a="1"/>
  <c r="B558" i="2" s="1"/>
  <c r="C558" i="2" a="1"/>
  <c r="C558" i="2" s="1"/>
  <c r="D558" i="2" a="1"/>
  <c r="D558" i="2"/>
  <c r="E558" i="2" a="1"/>
  <c r="E558" i="2" s="1"/>
  <c r="A559" i="2" a="1"/>
  <c r="A559" i="2"/>
  <c r="B559" i="2" a="1"/>
  <c r="B559" i="2"/>
  <c r="C559" i="2" a="1"/>
  <c r="C559" i="2" s="1"/>
  <c r="D559" i="2" a="1"/>
  <c r="D559" i="2" s="1"/>
  <c r="E559" i="2" a="1"/>
  <c r="E559" i="2" s="1"/>
  <c r="A560" i="2" a="1"/>
  <c r="A560" i="2"/>
  <c r="B560" i="2" a="1"/>
  <c r="B560" i="2" s="1"/>
  <c r="C560" i="2" a="1"/>
  <c r="C560" i="2"/>
  <c r="D560" i="2" a="1"/>
  <c r="D560" i="2"/>
  <c r="E560" i="2" a="1"/>
  <c r="E560" i="2" s="1"/>
  <c r="A561" i="2" a="1"/>
  <c r="A561" i="2" s="1"/>
  <c r="B561" i="2" a="1"/>
  <c r="B561" i="2" s="1"/>
  <c r="C561" i="2" a="1"/>
  <c r="C561" i="2"/>
  <c r="D561" i="2" a="1"/>
  <c r="D561" i="2" s="1"/>
  <c r="E561" i="2" a="1"/>
  <c r="E561" i="2"/>
  <c r="E2" i="2" a="1"/>
  <c r="E2" i="2" s="1"/>
  <c r="D2" i="2" a="1"/>
  <c r="D2" i="2" s="1"/>
  <c r="C2" i="2" a="1"/>
  <c r="C2" i="2" s="1"/>
  <c r="B2" i="2" a="1"/>
  <c r="B2" i="2" s="1"/>
  <c r="A2" i="2" a="1"/>
  <c r="A2" i="2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K2" i="1"/>
  <c r="J2" i="1"/>
  <c r="F37" i="3" l="1"/>
  <c r="F23" i="3"/>
  <c r="F15" i="3"/>
  <c r="F537" i="3"/>
  <c r="F465" i="3"/>
  <c r="E397" i="3"/>
  <c r="E329" i="3"/>
  <c r="F263" i="3"/>
  <c r="F256" i="3"/>
  <c r="F224" i="3"/>
  <c r="F202" i="3"/>
  <c r="F156" i="3"/>
  <c r="F142" i="3"/>
  <c r="F128" i="3"/>
  <c r="F114" i="3"/>
  <c r="F100" i="3"/>
  <c r="F86" i="3"/>
  <c r="F72" i="3"/>
  <c r="F58" i="3"/>
  <c r="F557" i="3"/>
  <c r="F550" i="3"/>
  <c r="F510" i="3"/>
  <c r="E497" i="3"/>
  <c r="F492" i="3"/>
  <c r="F451" i="3"/>
  <c r="F431" i="3"/>
  <c r="F410" i="3"/>
  <c r="E383" i="3"/>
  <c r="F364" i="3"/>
  <c r="F342" i="3"/>
  <c r="F337" i="3"/>
  <c r="E315" i="3"/>
  <c r="F296" i="3"/>
  <c r="F269" i="3"/>
  <c r="E229" i="3"/>
  <c r="F210" i="3"/>
  <c r="F188" i="3"/>
  <c r="F183" i="3"/>
  <c r="E161" i="3"/>
  <c r="F14" i="3"/>
  <c r="F505" i="3"/>
  <c r="E369" i="3"/>
  <c r="F323" i="3"/>
  <c r="E301" i="3"/>
  <c r="F275" i="3"/>
  <c r="E215" i="3"/>
  <c r="F169" i="3"/>
  <c r="E147" i="3"/>
  <c r="E133" i="3"/>
  <c r="E119" i="3"/>
  <c r="E105" i="3"/>
  <c r="E91" i="3"/>
  <c r="E77" i="3"/>
  <c r="E63" i="3"/>
  <c r="E49" i="3"/>
  <c r="F43" i="3"/>
  <c r="E35" i="3"/>
  <c r="F29" i="3"/>
  <c r="E21" i="3"/>
  <c r="F491" i="3"/>
  <c r="E469" i="3"/>
  <c r="E341" i="3"/>
  <c r="F295" i="3"/>
  <c r="F261" i="3"/>
  <c r="E187" i="3"/>
  <c r="E553" i="3"/>
  <c r="F449" i="3"/>
  <c r="E427" i="3"/>
  <c r="E299" i="3"/>
  <c r="F267" i="3"/>
  <c r="E259" i="3"/>
  <c r="E145" i="3"/>
  <c r="E131" i="3"/>
  <c r="E117" i="3"/>
  <c r="E103" i="3"/>
  <c r="E89" i="3"/>
  <c r="E75" i="3"/>
  <c r="E61" i="3"/>
  <c r="E47" i="3"/>
  <c r="E33" i="3"/>
  <c r="E539" i="3"/>
  <c r="E467" i="3"/>
  <c r="F421" i="3"/>
  <c r="E399" i="3"/>
  <c r="F253" i="3"/>
  <c r="E245" i="3"/>
  <c r="F560" i="3"/>
  <c r="F507" i="3"/>
  <c r="F480" i="3"/>
  <c r="F434" i="3"/>
  <c r="F412" i="3"/>
  <c r="F366" i="3"/>
  <c r="F325" i="3"/>
  <c r="F305" i="3"/>
  <c r="F284" i="3"/>
  <c r="F212" i="3"/>
  <c r="F171" i="3"/>
  <c r="F151" i="3"/>
  <c r="F137" i="3"/>
  <c r="F123" i="3"/>
  <c r="F109" i="3"/>
  <c r="F95" i="3"/>
  <c r="F81" i="3"/>
  <c r="F67" i="3"/>
  <c r="F53" i="3"/>
  <c r="F45" i="3"/>
  <c r="F31" i="3"/>
  <c r="F16" i="3"/>
  <c r="E525" i="3"/>
  <c r="E439" i="3"/>
  <c r="F393" i="3"/>
  <c r="E371" i="3"/>
  <c r="F239" i="3"/>
  <c r="E217" i="3"/>
  <c r="F556" i="3"/>
  <c r="F542" i="3"/>
  <c r="F528" i="3"/>
  <c r="F514" i="3"/>
  <c r="F500" i="3"/>
  <c r="F486" i="3"/>
  <c r="F472" i="3"/>
  <c r="F458" i="3"/>
  <c r="F444" i="3"/>
  <c r="F430" i="3"/>
  <c r="F416" i="3"/>
  <c r="F402" i="3"/>
  <c r="F388" i="3"/>
  <c r="F374" i="3"/>
  <c r="F360" i="3"/>
  <c r="F346" i="3"/>
  <c r="F332" i="3"/>
  <c r="F318" i="3"/>
  <c r="F304" i="3"/>
  <c r="F290" i="3"/>
  <c r="F276" i="3"/>
  <c r="F262" i="3"/>
  <c r="F248" i="3"/>
  <c r="F234" i="3"/>
  <c r="F220" i="3"/>
  <c r="F206" i="3"/>
  <c r="F192" i="3"/>
  <c r="F178" i="3"/>
  <c r="F164" i="3"/>
  <c r="F150" i="3"/>
  <c r="F136" i="3"/>
  <c r="F122" i="3"/>
  <c r="F108" i="3"/>
  <c r="F94" i="3"/>
  <c r="F80" i="3"/>
  <c r="F66" i="3"/>
  <c r="F52" i="3"/>
  <c r="F38" i="3"/>
  <c r="F24" i="3"/>
  <c r="F19" i="3"/>
  <c r="F5" i="3"/>
  <c r="F555" i="3"/>
  <c r="F541" i="3"/>
  <c r="F527" i="3"/>
  <c r="F513" i="3"/>
  <c r="F499" i="3"/>
  <c r="F485" i="3"/>
  <c r="F471" i="3"/>
  <c r="F457" i="3"/>
  <c r="F443" i="3"/>
  <c r="F429" i="3"/>
  <c r="F415" i="3"/>
  <c r="F401" i="3"/>
  <c r="F387" i="3"/>
  <c r="F373" i="3"/>
  <c r="F359" i="3"/>
  <c r="F345" i="3"/>
  <c r="F331" i="3"/>
  <c r="F317" i="3"/>
  <c r="F303" i="3"/>
  <c r="F289" i="3"/>
  <c r="F233" i="3"/>
  <c r="F219" i="3"/>
  <c r="F205" i="3"/>
  <c r="F191" i="3"/>
  <c r="F177" i="3"/>
  <c r="F163" i="3"/>
  <c r="F149" i="3"/>
  <c r="F135" i="3"/>
  <c r="F121" i="3"/>
  <c r="F107" i="3"/>
  <c r="F93" i="3"/>
  <c r="F79" i="3"/>
  <c r="F65" i="3"/>
  <c r="F51" i="3"/>
  <c r="F46" i="3"/>
  <c r="F32" i="3"/>
  <c r="F18" i="3"/>
  <c r="F4" i="3"/>
  <c r="F559" i="3"/>
  <c r="F545" i="3"/>
  <c r="F531" i="3"/>
  <c r="F517" i="3"/>
  <c r="F503" i="3"/>
  <c r="F489" i="3"/>
  <c r="F475" i="3"/>
  <c r="F461" i="3"/>
  <c r="F447" i="3"/>
  <c r="F433" i="3"/>
  <c r="F419" i="3"/>
  <c r="F405" i="3"/>
  <c r="F391" i="3"/>
  <c r="F377" i="3"/>
  <c r="F363" i="3"/>
  <c r="F349" i="3"/>
  <c r="F335" i="3"/>
  <c r="F321" i="3"/>
  <c r="F307" i="3"/>
  <c r="F293" i="3"/>
  <c r="F279" i="3"/>
  <c r="F265" i="3"/>
  <c r="F251" i="3"/>
  <c r="F237" i="3"/>
  <c r="F223" i="3"/>
  <c r="F209" i="3"/>
  <c r="F195" i="3"/>
  <c r="F181" i="3"/>
  <c r="F167" i="3"/>
  <c r="F153" i="3"/>
  <c r="F139" i="3"/>
  <c r="F125" i="3"/>
  <c r="F111" i="3"/>
  <c r="F97" i="3"/>
  <c r="F83" i="3"/>
  <c r="F69" i="3"/>
  <c r="F55" i="3"/>
  <c r="F41" i="3"/>
  <c r="F27" i="3"/>
  <c r="F554" i="3"/>
  <c r="F540" i="3"/>
  <c r="F526" i="3"/>
  <c r="F512" i="3"/>
  <c r="F498" i="3"/>
  <c r="F484" i="3"/>
  <c r="F470" i="3"/>
  <c r="F456" i="3"/>
  <c r="F442" i="3"/>
  <c r="F428" i="3"/>
  <c r="F414" i="3"/>
  <c r="F400" i="3"/>
  <c r="F386" i="3"/>
  <c r="F372" i="3"/>
  <c r="F358" i="3"/>
  <c r="F344" i="3"/>
  <c r="F330" i="3"/>
  <c r="F316" i="3"/>
  <c r="F302" i="3"/>
  <c r="F288" i="3"/>
  <c r="F274" i="3"/>
  <c r="F260" i="3"/>
  <c r="F246" i="3"/>
  <c r="F232" i="3"/>
  <c r="F218" i="3"/>
  <c r="F204" i="3"/>
  <c r="F190" i="3"/>
  <c r="F176" i="3"/>
  <c r="F162" i="3"/>
  <c r="F148" i="3"/>
  <c r="F134" i="3"/>
  <c r="F120" i="3"/>
  <c r="F106" i="3"/>
  <c r="F92" i="3"/>
  <c r="F78" i="3"/>
  <c r="F64" i="3"/>
  <c r="F50" i="3"/>
  <c r="F36" i="3"/>
  <c r="F22" i="3"/>
  <c r="F8" i="3"/>
  <c r="F17" i="3"/>
  <c r="F3" i="3"/>
  <c r="F558" i="3"/>
  <c r="F544" i="3"/>
  <c r="F530" i="3"/>
  <c r="F516" i="3"/>
  <c r="F502" i="3"/>
  <c r="F488" i="3"/>
  <c r="F474" i="3"/>
  <c r="F460" i="3"/>
  <c r="F446" i="3"/>
  <c r="F432" i="3"/>
  <c r="F418" i="3"/>
  <c r="F404" i="3"/>
  <c r="F390" i="3"/>
  <c r="F376" i="3"/>
  <c r="F362" i="3"/>
  <c r="F348" i="3"/>
  <c r="F334" i="3"/>
  <c r="F320" i="3"/>
  <c r="F306" i="3"/>
  <c r="F292" i="3"/>
  <c r="F278" i="3"/>
  <c r="F264" i="3"/>
  <c r="F250" i="3"/>
  <c r="F236" i="3"/>
  <c r="F222" i="3"/>
  <c r="F208" i="3"/>
  <c r="F194" i="3"/>
  <c r="F180" i="3"/>
  <c r="F166" i="3"/>
  <c r="F152" i="3"/>
  <c r="F138" i="3"/>
  <c r="F124" i="3"/>
  <c r="F110" i="3"/>
  <c r="F96" i="3"/>
  <c r="F82" i="3"/>
  <c r="F68" i="3"/>
  <c r="F54" i="3"/>
  <c r="F40" i="3"/>
  <c r="F26" i="3"/>
  <c r="F12" i="3"/>
  <c r="E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<sst xmlns="http://schemas.openxmlformats.org/spreadsheetml/2006/main" count="870" uniqueCount="307">
  <si>
    <t>datum</t>
  </si>
  <si>
    <t>M01AB</t>
  </si>
  <si>
    <t>M01AE</t>
  </si>
  <si>
    <t>N02BA</t>
  </si>
  <si>
    <t>N02BE</t>
  </si>
  <si>
    <t>N05B</t>
  </si>
  <si>
    <t>N05C</t>
  </si>
  <si>
    <t>R03</t>
  </si>
  <si>
    <t>R06</t>
  </si>
  <si>
    <t>127.69000000000001</t>
  </si>
  <si>
    <t>99.09000000000005</t>
  </si>
  <si>
    <t>152.09999999999997</t>
  </si>
  <si>
    <t>878.0300000000002</t>
  </si>
  <si>
    <t>126.0500000000001</t>
  </si>
  <si>
    <t>176.99999999999997</t>
  </si>
  <si>
    <t>1001.9000000000001</t>
  </si>
  <si>
    <t>137.44000000000005</t>
  </si>
  <si>
    <t>92.95000000000007</t>
  </si>
  <si>
    <t>113.10000000000004</t>
  </si>
  <si>
    <t>89.47500000000008</t>
  </si>
  <si>
    <t>130.89999999999998</t>
  </si>
  <si>
    <t>101.79000000000005</t>
  </si>
  <si>
    <t>119.93300000000009</t>
  </si>
  <si>
    <t>628.7800000000001</t>
  </si>
  <si>
    <t>123.69999999999999</t>
  </si>
  <si>
    <t>112.07000000000002</t>
  </si>
  <si>
    <t>94.71000000000006</t>
  </si>
  <si>
    <t>117.06000000000002</t>
  </si>
  <si>
    <t>95.01000000000012</t>
  </si>
  <si>
    <t>134.79000000000005</t>
  </si>
  <si>
    <t>583.8499999999999</t>
  </si>
  <si>
    <t>70.80000000000001</t>
  </si>
  <si>
    <t>108.78000000000003</t>
  </si>
  <si>
    <t>109.0940000000001</t>
  </si>
  <si>
    <t>122.09999999999998</t>
  </si>
  <si>
    <t>887.8199999999999</t>
  </si>
  <si>
    <t>154.75000000000003</t>
  </si>
  <si>
    <t>185.2410000000001</t>
  </si>
  <si>
    <t>191.59999999999997</t>
  </si>
  <si>
    <t>1856.8149999999994</t>
  </si>
  <si>
    <t>138.08000000000004</t>
  </si>
  <si>
    <t>100.86000000000004</t>
  </si>
  <si>
    <t>131.90000000000003</t>
  </si>
  <si>
    <t>121.40100000000004</t>
  </si>
  <si>
    <t>111.12400000000001</t>
  </si>
  <si>
    <t>1015.6600000000001</t>
  </si>
  <si>
    <t>135.91000000000003</t>
  </si>
  <si>
    <t>130.34900000000005</t>
  </si>
  <si>
    <t>1044.2400000000002</t>
  </si>
  <si>
    <t>123.73999999999997</t>
  </si>
  <si>
    <t>156.04000000000005</t>
  </si>
  <si>
    <t>129.38599999999997</t>
  </si>
  <si>
    <t>1084.8500000000001</t>
  </si>
  <si>
    <t>122.10000000000001</t>
  </si>
  <si>
    <t>940.1700000000001</t>
  </si>
  <si>
    <t>119.11700000000006</t>
  </si>
  <si>
    <t>765.9000000000001</t>
  </si>
  <si>
    <t>151.87000000000003</t>
  </si>
  <si>
    <t>125.79999999999998</t>
  </si>
  <si>
    <t>175.61000000000004</t>
  </si>
  <si>
    <t>113.81000000000002</t>
  </si>
  <si>
    <t>708.8280000000001</t>
  </si>
  <si>
    <t>181.69000000000003</t>
  </si>
  <si>
    <t>144.51900000000003</t>
  </si>
  <si>
    <t>166.22000000000008</t>
  </si>
  <si>
    <t>134.12200000000004</t>
  </si>
  <si>
    <t>195.81000000000014</t>
  </si>
  <si>
    <t>127.23099999999998</t>
  </si>
  <si>
    <t>146.20000000000002</t>
  </si>
  <si>
    <t>1574.3350000000007</t>
  </si>
  <si>
    <t>152.78000000000006</t>
  </si>
  <si>
    <t>145.90000000000003</t>
  </si>
  <si>
    <t>159.46000000000004</t>
  </si>
  <si>
    <t>131.29100000000003</t>
  </si>
  <si>
    <t>136.99999999999997</t>
  </si>
  <si>
    <t>1258.3490000000002</t>
  </si>
  <si>
    <t>171.65000000000006</t>
  </si>
  <si>
    <t>172.49999999999997</t>
  </si>
  <si>
    <t>1476.3240000000003</t>
  </si>
  <si>
    <t>173.81000000000003</t>
  </si>
  <si>
    <t>134.20000000000002</t>
  </si>
  <si>
    <t>1224.8620000000003</t>
  </si>
  <si>
    <t>156.64000000000004</t>
  </si>
  <si>
    <t>180.5890000000001</t>
  </si>
  <si>
    <t>1150.7000000000003</t>
  </si>
  <si>
    <t>166.6100000000001</t>
  </si>
  <si>
    <t>146.52600000000007</t>
  </si>
  <si>
    <t>998.3370000000003</t>
  </si>
  <si>
    <t>162.39999999999998</t>
  </si>
  <si>
    <t>167.36000000000007</t>
  </si>
  <si>
    <t>120.86099999999996</t>
  </si>
  <si>
    <t>130.54999999999995</t>
  </si>
  <si>
    <t>997.1500000000003</t>
  </si>
  <si>
    <t>137.10000000000002</t>
  </si>
  <si>
    <t>169.67000000000002</t>
  </si>
  <si>
    <t>203.97000000000017</t>
  </si>
  <si>
    <t>141.01900000000003</t>
  </si>
  <si>
    <t>137.89999999999998</t>
  </si>
  <si>
    <t>652.3619999999999</t>
  </si>
  <si>
    <t>211.13000000000017</t>
  </si>
  <si>
    <t>114.37499999999997</t>
  </si>
  <si>
    <t>753.0500000000002</t>
  </si>
  <si>
    <t>172.96000000000004</t>
  </si>
  <si>
    <t>126.21799999999995</t>
  </si>
  <si>
    <t>186.7600000000001</t>
  </si>
  <si>
    <t>142.0560000000001</t>
  </si>
  <si>
    <t>1617.275000000001</t>
  </si>
  <si>
    <t>175.18000000000012</t>
  </si>
  <si>
    <t>116.84999999999997</t>
  </si>
  <si>
    <t>133.85000000000002</t>
  </si>
  <si>
    <t>1062.6860000000004</t>
  </si>
  <si>
    <t>51.199999999999996</t>
  </si>
  <si>
    <t>169.32000000000002</t>
  </si>
  <si>
    <t>135.05600000000004</t>
  </si>
  <si>
    <t>132.39999999999998</t>
  </si>
  <si>
    <t>1624.3350000000003</t>
  </si>
  <si>
    <t>139.69000000000003</t>
  </si>
  <si>
    <t>103.51700000000001</t>
  </si>
  <si>
    <t>526.3500000000001</t>
  </si>
  <si>
    <t>162.85000000000002</t>
  </si>
  <si>
    <t>107.35000000000001</t>
  </si>
  <si>
    <t>612.5000000000002</t>
  </si>
  <si>
    <t>155.61000000000004</t>
  </si>
  <si>
    <t>101.21500000000002</t>
  </si>
  <si>
    <t>540.1999999999998</t>
  </si>
  <si>
    <t>122.39999999999999</t>
  </si>
  <si>
    <t>118.12500000000006</t>
  </si>
  <si>
    <t>547.9399999999998</t>
  </si>
  <si>
    <t>103.00599999999999</t>
  </si>
  <si>
    <t>151.89999999999998</t>
  </si>
  <si>
    <t>116.20600000000003</t>
  </si>
  <si>
    <t>75.19999999999999</t>
  </si>
  <si>
    <t>479.34999999999997</t>
  </si>
  <si>
    <t>170.14999999999998</t>
  </si>
  <si>
    <t>118.71100000000004</t>
  </si>
  <si>
    <t>88.14999999999998</t>
  </si>
  <si>
    <t>863.7500000000002</t>
  </si>
  <si>
    <t>137.64000000000001</t>
  </si>
  <si>
    <t>100.39999999999999</t>
  </si>
  <si>
    <t>1184.3500000000004</t>
  </si>
  <si>
    <t>163.85000000000005</t>
  </si>
  <si>
    <t>119.78000000000003</t>
  </si>
  <si>
    <t>867.8990000000001</t>
  </si>
  <si>
    <t>46.599999999999994</t>
  </si>
  <si>
    <t>160.01000000000002</t>
  </si>
  <si>
    <t>121.66300000000003</t>
  </si>
  <si>
    <t>115.14999999999999</t>
  </si>
  <si>
    <t>1007.1800000000001</t>
  </si>
  <si>
    <t>109.44599999999998</t>
  </si>
  <si>
    <t>101.14999999999999</t>
  </si>
  <si>
    <t>132.80400000000014</t>
  </si>
  <si>
    <t>114.65000000000002</t>
  </si>
  <si>
    <t>1255.3740000000007</t>
  </si>
  <si>
    <t>111.76400000000001</t>
  </si>
  <si>
    <t>122.30000000000001</t>
  </si>
  <si>
    <t>999.1230000000004</t>
  </si>
  <si>
    <t>170.02000000000007</t>
  </si>
  <si>
    <t>107.72300000000001</t>
  </si>
  <si>
    <t>84.60000000000001</t>
  </si>
  <si>
    <t>836.0369999999999</t>
  </si>
  <si>
    <t>160.52000000000004</t>
  </si>
  <si>
    <t>103.52199999999999</t>
  </si>
  <si>
    <t>89.39999999999999</t>
  </si>
  <si>
    <t>644.6480000000004</t>
  </si>
  <si>
    <t>213.04000000000002</t>
  </si>
  <si>
    <t>114.22600000000004</t>
  </si>
  <si>
    <t>86.80000000000001</t>
  </si>
  <si>
    <t>132.54900000000006</t>
  </si>
  <si>
    <t>679.3499999999999</t>
  </si>
  <si>
    <t>140.00000000000003</t>
  </si>
  <si>
    <t>114.71900000000005</t>
  </si>
  <si>
    <t>114.99200000000008</t>
  </si>
  <si>
    <t>1058.2620000000002</t>
  </si>
  <si>
    <t>88.10000000000001</t>
  </si>
  <si>
    <t>144.71000000000004</t>
  </si>
  <si>
    <t>129.4000000000001</t>
  </si>
  <si>
    <t>76.05000000000001</t>
  </si>
  <si>
    <t>1129.2749999999999</t>
  </si>
  <si>
    <t>172.29000000000005</t>
  </si>
  <si>
    <t>105.48700000000004</t>
  </si>
  <si>
    <t>102.14999999999999</t>
  </si>
  <si>
    <t>48.400000000000006</t>
  </si>
  <si>
    <t>147.71000000000004</t>
  </si>
  <si>
    <t>113.02400000000011</t>
  </si>
  <si>
    <t>53.099999999999994</t>
  </si>
  <si>
    <t>179.70000000000007</t>
  </si>
  <si>
    <t>222.35100000000017</t>
  </si>
  <si>
    <t>99.69999999999999</t>
  </si>
  <si>
    <t>1660.6120000000012</t>
  </si>
  <si>
    <t>133.73000000000002</t>
  </si>
  <si>
    <t>142.15500000000014</t>
  </si>
  <si>
    <t>110.19999999999996</t>
  </si>
  <si>
    <t>1001.2120000000003</t>
  </si>
  <si>
    <t>249.39999999999998</t>
  </si>
  <si>
    <t>154.52000000000004</t>
  </si>
  <si>
    <t>113.11800000000004</t>
  </si>
  <si>
    <t>83.35000000000001</t>
  </si>
  <si>
    <t>169.49999999999997</t>
  </si>
  <si>
    <t>161.39000000000004</t>
  </si>
  <si>
    <t>100.16500000000005</t>
  </si>
  <si>
    <t>647.6500000000002</t>
  </si>
  <si>
    <t>179.10000000000002</t>
  </si>
  <si>
    <t>168.04000000000005</t>
  </si>
  <si>
    <t>97.25800000000004</t>
  </si>
  <si>
    <t>703.5620000000001</t>
  </si>
  <si>
    <t>265.79999999999995</t>
  </si>
  <si>
    <t>151.5400000000001</t>
  </si>
  <si>
    <t>101.62700000000005</t>
  </si>
  <si>
    <t>609.9999999999999</t>
  </si>
  <si>
    <t>103.54100000000005</t>
  </si>
  <si>
    <t>250.60000000000002</t>
  </si>
  <si>
    <t>181.91000000000008</t>
  </si>
  <si>
    <t>88.26900000000003</t>
  </si>
  <si>
    <t>84.19999999999999</t>
  </si>
  <si>
    <t>518.0999999999999</t>
  </si>
  <si>
    <t>161.07000000000005</t>
  </si>
  <si>
    <t>111.43700000000007</t>
  </si>
  <si>
    <t>93.49999999999999</t>
  </si>
  <si>
    <t>984.4799999999999</t>
  </si>
  <si>
    <t>227.79999999999998</t>
  </si>
  <si>
    <t>44.370000000000005</t>
  </si>
  <si>
    <t>295.15000000000003</t>
  </si>
  <si>
    <t>11.129999999999999</t>
  </si>
  <si>
    <t>Year</t>
  </si>
  <si>
    <t>Month</t>
  </si>
  <si>
    <t xml:space="preserve">date </t>
  </si>
  <si>
    <t xml:space="preserve">year </t>
  </si>
  <si>
    <t xml:space="preserve">month </t>
  </si>
  <si>
    <t xml:space="preserve">drug_class </t>
  </si>
  <si>
    <t>units_sold</t>
  </si>
  <si>
    <t xml:space="preserve">monthly_units </t>
  </si>
  <si>
    <t xml:space="preserve">revenue </t>
  </si>
  <si>
    <t>profit</t>
  </si>
  <si>
    <t xml:space="preserve">year_month </t>
  </si>
  <si>
    <t xml:space="preserve">total_revenue </t>
  </si>
  <si>
    <t>total_profit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</si>
  <si>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</si>
  <si>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</si>
  <si>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</si>
  <si>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</si>
  <si>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</si>
  <si>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</si>
  <si>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</si>
  <si>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</si>
  <si>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</si>
  <si>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</si>
  <si>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</si>
  <si>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</si>
  <si>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</si>
  <si>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</si>
  <si>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</si>
  <si>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</si>
  <si>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</si>
  <si>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</si>
  <si>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</si>
  <si>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</si>
  <si>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</si>
  <si>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</si>
  <si>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</si>
  <si>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</si>
  <si>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</si>
  <si>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</si>
  <si>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</si>
  <si>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</si>
  <si>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</si>
  <si>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</si>
  <si>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</si>
  <si>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</si>
  <si>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</si>
  <si>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</si>
  <si>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</si>
  <si>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</si>
  <si>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</si>
  <si>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</si>
  <si>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</si>
  <si>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</si>
  <si>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</si>
  <si>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</si>
  <si>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</si>
  <si>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</si>
  <si>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</si>
  <si>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</si>
  <si>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</si>
  <si>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</si>
  <si>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</si>
  <si>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</si>
  <si>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</si>
  <si>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</si>
  <si>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</si>
  <si>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</si>
  <si>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</si>
  <si>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</si>
  <si>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</si>
  <si>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</si>
  <si>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</si>
  <si>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</si>
  <si>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</si>
  <si>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</si>
  <si>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</si>
  <si>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</si>
  <si>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</si>
  <si>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</si>
  <si>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</si>
  <si>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</si>
  <si>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</si>
  <si>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</si>
  <si>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year_month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</si>
</sst>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C466-18B4-42BE-9137-9AFC4837A995}">
  <dimension ref="A1:K71"/>
  <sheetViews>
    <sheetView tabSelected="1" workbookViewId="0">
      <selection activeCell="B1" sqref="B1"/>
    </sheetView>
  </sheetViews>
  <sheetFormatPr defaultRowHeight="14.5" x14ac:dyDescent="0.35"/>
  <cols>
    <col min="1" max="1" width="10.08984375" style="1" bestFit="1" customWidth="1"/>
  </cols>
  <sheetData>
    <row r="1" spans="1:1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223</v>
      </c>
      <c r="K1" t="s">
        <v>224</v>
      </c>
    </row>
    <row r="2" spans="1:11" x14ac:dyDescent="0.35">
      <c r="A2" s="1">
        <v>41670</v>
      </c>
      <c r="B2" s="2" t="s">
        <v>9</v>
      </c>
      <c r="C2" s="2" t="s">
        <v>10</v>
      </c>
      <c r="D2" s="2" t="s">
        <v>11</v>
      </c>
      <c r="E2" s="2" t="s">
        <v>12</v>
      </c>
      <c r="F2">
        <v>354</v>
      </c>
      <c r="G2">
        <v>50</v>
      </c>
      <c r="H2">
        <v>112</v>
      </c>
      <c r="I2">
        <v>48.2</v>
      </c>
      <c r="J2">
        <f>YEAR(A2)</f>
        <v>2014</v>
      </c>
      <c r="K2">
        <f>MONTH(A2)</f>
        <v>1</v>
      </c>
    </row>
    <row r="3" spans="1:11" x14ac:dyDescent="0.35">
      <c r="A3" s="1">
        <v>41698</v>
      </c>
      <c r="B3">
        <v>133.32</v>
      </c>
      <c r="C3" s="2" t="s">
        <v>13</v>
      </c>
      <c r="D3" s="2" t="s">
        <v>14</v>
      </c>
      <c r="E3" s="2" t="s">
        <v>15</v>
      </c>
      <c r="F3">
        <v>347</v>
      </c>
      <c r="G3">
        <v>31</v>
      </c>
      <c r="H3">
        <v>122</v>
      </c>
      <c r="I3">
        <v>36.200000000000003</v>
      </c>
      <c r="J3">
        <f t="shared" ref="J3:J66" si="0">YEAR(A3)</f>
        <v>2014</v>
      </c>
      <c r="K3">
        <f t="shared" ref="K3:K66" si="1">MONTH(A3)</f>
        <v>2</v>
      </c>
    </row>
    <row r="4" spans="1:11" x14ac:dyDescent="0.35">
      <c r="A4" s="1">
        <v>41729</v>
      </c>
      <c r="B4" s="2" t="s">
        <v>16</v>
      </c>
      <c r="C4" s="2" t="s">
        <v>17</v>
      </c>
      <c r="D4">
        <v>147.655</v>
      </c>
      <c r="E4">
        <v>779.27499999999998</v>
      </c>
      <c r="F4">
        <v>232</v>
      </c>
      <c r="G4">
        <v>20</v>
      </c>
      <c r="H4">
        <v>112</v>
      </c>
      <c r="I4">
        <v>85.4</v>
      </c>
      <c r="J4">
        <f t="shared" si="0"/>
        <v>2014</v>
      </c>
      <c r="K4">
        <f t="shared" si="1"/>
        <v>3</v>
      </c>
    </row>
    <row r="5" spans="1:11" x14ac:dyDescent="0.35">
      <c r="A5" s="1">
        <v>41759</v>
      </c>
      <c r="B5" s="2" t="s">
        <v>18</v>
      </c>
      <c r="C5" s="2" t="s">
        <v>19</v>
      </c>
      <c r="D5" s="2" t="s">
        <v>20</v>
      </c>
      <c r="E5">
        <v>698.5</v>
      </c>
      <c r="F5">
        <v>209</v>
      </c>
      <c r="G5">
        <v>18</v>
      </c>
      <c r="H5">
        <v>97</v>
      </c>
      <c r="I5">
        <v>73.7</v>
      </c>
      <c r="J5">
        <f t="shared" si="0"/>
        <v>2014</v>
      </c>
      <c r="K5">
        <f t="shared" si="1"/>
        <v>4</v>
      </c>
    </row>
    <row r="6" spans="1:11" x14ac:dyDescent="0.35">
      <c r="A6" s="1">
        <v>41790</v>
      </c>
      <c r="B6" s="2" t="s">
        <v>21</v>
      </c>
      <c r="C6" s="2" t="s">
        <v>22</v>
      </c>
      <c r="D6">
        <v>132.1</v>
      </c>
      <c r="E6" s="2" t="s">
        <v>23</v>
      </c>
      <c r="F6">
        <v>270</v>
      </c>
      <c r="G6">
        <v>23</v>
      </c>
      <c r="H6">
        <v>107</v>
      </c>
      <c r="I6" s="2" t="s">
        <v>24</v>
      </c>
      <c r="J6">
        <f t="shared" si="0"/>
        <v>2014</v>
      </c>
      <c r="K6">
        <f t="shared" si="1"/>
        <v>5</v>
      </c>
    </row>
    <row r="7" spans="1:11" x14ac:dyDescent="0.35">
      <c r="A7" s="1">
        <v>41820</v>
      </c>
      <c r="B7" s="2" t="s">
        <v>25</v>
      </c>
      <c r="C7" s="2" t="s">
        <v>26</v>
      </c>
      <c r="D7">
        <v>122.9</v>
      </c>
      <c r="E7">
        <v>548.22500000000002</v>
      </c>
      <c r="F7">
        <v>323</v>
      </c>
      <c r="G7">
        <v>23</v>
      </c>
      <c r="H7">
        <v>57</v>
      </c>
      <c r="I7">
        <v>109.3</v>
      </c>
      <c r="J7">
        <f t="shared" si="0"/>
        <v>2014</v>
      </c>
      <c r="K7">
        <f t="shared" si="1"/>
        <v>6</v>
      </c>
    </row>
    <row r="8" spans="1:11" x14ac:dyDescent="0.35">
      <c r="A8" s="1">
        <v>41851</v>
      </c>
      <c r="B8" s="2" t="s">
        <v>27</v>
      </c>
      <c r="C8" s="2" t="s">
        <v>28</v>
      </c>
      <c r="D8">
        <v>129.30000000000001</v>
      </c>
      <c r="E8">
        <v>491.9</v>
      </c>
      <c r="F8">
        <v>348</v>
      </c>
      <c r="G8">
        <v>21</v>
      </c>
      <c r="H8">
        <v>61</v>
      </c>
      <c r="I8">
        <v>69.099999999999994</v>
      </c>
      <c r="J8">
        <f t="shared" si="0"/>
        <v>2014</v>
      </c>
      <c r="K8">
        <f t="shared" si="1"/>
        <v>7</v>
      </c>
    </row>
    <row r="9" spans="1:11" x14ac:dyDescent="0.35">
      <c r="A9" s="1">
        <v>41882</v>
      </c>
      <c r="B9" s="2" t="s">
        <v>29</v>
      </c>
      <c r="C9">
        <v>99.780000000000101</v>
      </c>
      <c r="D9">
        <v>123.8</v>
      </c>
      <c r="E9" s="2" t="s">
        <v>30</v>
      </c>
      <c r="F9">
        <v>420</v>
      </c>
      <c r="G9">
        <v>29</v>
      </c>
      <c r="H9">
        <v>37</v>
      </c>
      <c r="I9" s="2" t="s">
        <v>31</v>
      </c>
      <c r="J9">
        <f t="shared" si="0"/>
        <v>2014</v>
      </c>
      <c r="K9">
        <f t="shared" si="1"/>
        <v>8</v>
      </c>
    </row>
    <row r="10" spans="1:11" x14ac:dyDescent="0.35">
      <c r="A10" s="1">
        <v>41912</v>
      </c>
      <c r="B10" s="2" t="s">
        <v>32</v>
      </c>
      <c r="C10" s="2" t="s">
        <v>33</v>
      </c>
      <c r="D10" s="2" t="s">
        <v>34</v>
      </c>
      <c r="E10" s="2" t="s">
        <v>35</v>
      </c>
      <c r="F10">
        <v>399</v>
      </c>
      <c r="G10">
        <v>14</v>
      </c>
      <c r="H10">
        <v>115</v>
      </c>
      <c r="I10">
        <v>58.8</v>
      </c>
      <c r="J10">
        <f t="shared" si="0"/>
        <v>2014</v>
      </c>
      <c r="K10">
        <f t="shared" si="1"/>
        <v>9</v>
      </c>
    </row>
    <row r="11" spans="1:11" x14ac:dyDescent="0.35">
      <c r="A11" s="1">
        <v>41943</v>
      </c>
      <c r="B11" s="2" t="s">
        <v>36</v>
      </c>
      <c r="C11" s="2" t="s">
        <v>37</v>
      </c>
      <c r="D11" s="2" t="s">
        <v>38</v>
      </c>
      <c r="E11" s="2" t="s">
        <v>39</v>
      </c>
      <c r="F11">
        <v>472</v>
      </c>
      <c r="G11">
        <v>30</v>
      </c>
      <c r="H11">
        <v>182</v>
      </c>
      <c r="I11">
        <v>74.5</v>
      </c>
      <c r="J11">
        <f t="shared" si="0"/>
        <v>2014</v>
      </c>
      <c r="K11">
        <f t="shared" si="1"/>
        <v>10</v>
      </c>
    </row>
    <row r="12" spans="1:11" x14ac:dyDescent="0.35">
      <c r="A12" s="1">
        <v>41973</v>
      </c>
      <c r="B12" s="2" t="s">
        <v>40</v>
      </c>
      <c r="C12" s="2" t="s">
        <v>41</v>
      </c>
      <c r="D12">
        <v>142.69999999999999</v>
      </c>
      <c r="E12">
        <v>723.8</v>
      </c>
      <c r="F12">
        <v>489</v>
      </c>
      <c r="G12">
        <v>19</v>
      </c>
      <c r="H12">
        <v>112</v>
      </c>
      <c r="I12">
        <v>45.2</v>
      </c>
      <c r="J12">
        <f t="shared" si="0"/>
        <v>2014</v>
      </c>
      <c r="K12">
        <f t="shared" si="1"/>
        <v>11</v>
      </c>
    </row>
    <row r="13" spans="1:11" x14ac:dyDescent="0.35">
      <c r="A13" s="1">
        <v>42004</v>
      </c>
      <c r="B13" s="2" t="s">
        <v>42</v>
      </c>
      <c r="C13" s="2" t="s">
        <v>43</v>
      </c>
      <c r="D13" s="2" t="s">
        <v>44</v>
      </c>
      <c r="E13" s="2" t="s">
        <v>45</v>
      </c>
      <c r="F13">
        <v>492</v>
      </c>
      <c r="G13">
        <v>25</v>
      </c>
      <c r="H13">
        <v>163</v>
      </c>
      <c r="I13">
        <v>33.4</v>
      </c>
      <c r="J13">
        <f t="shared" si="0"/>
        <v>2014</v>
      </c>
      <c r="K13">
        <f t="shared" si="1"/>
        <v>12</v>
      </c>
    </row>
    <row r="14" spans="1:11" x14ac:dyDescent="0.35">
      <c r="A14" s="1">
        <v>42035</v>
      </c>
      <c r="B14" s="2" t="s">
        <v>46</v>
      </c>
      <c r="C14" s="2" t="s">
        <v>47</v>
      </c>
      <c r="D14">
        <v>141</v>
      </c>
      <c r="E14" s="2" t="s">
        <v>48</v>
      </c>
      <c r="F14">
        <v>463</v>
      </c>
      <c r="G14">
        <v>24</v>
      </c>
      <c r="H14">
        <v>177.25</v>
      </c>
      <c r="I14">
        <v>42</v>
      </c>
      <c r="J14">
        <f t="shared" si="0"/>
        <v>2015</v>
      </c>
      <c r="K14">
        <f t="shared" si="1"/>
        <v>1</v>
      </c>
    </row>
    <row r="15" spans="1:11" x14ac:dyDescent="0.35">
      <c r="A15" s="1">
        <v>42063</v>
      </c>
      <c r="B15">
        <v>115.71</v>
      </c>
      <c r="C15" s="2" t="s">
        <v>49</v>
      </c>
      <c r="D15">
        <v>131.83000000000001</v>
      </c>
      <c r="E15">
        <v>953.25199999999995</v>
      </c>
      <c r="F15">
        <v>243</v>
      </c>
      <c r="G15">
        <v>9</v>
      </c>
      <c r="H15">
        <v>208</v>
      </c>
      <c r="I15">
        <v>47</v>
      </c>
      <c r="J15">
        <f t="shared" si="0"/>
        <v>2015</v>
      </c>
      <c r="K15">
        <f t="shared" si="1"/>
        <v>2</v>
      </c>
    </row>
    <row r="16" spans="1:11" x14ac:dyDescent="0.35">
      <c r="A16" s="1">
        <v>42094</v>
      </c>
      <c r="B16" s="2" t="s">
        <v>50</v>
      </c>
      <c r="C16" s="2" t="s">
        <v>51</v>
      </c>
      <c r="D16">
        <v>133.80000000000001</v>
      </c>
      <c r="E16" s="2" t="s">
        <v>52</v>
      </c>
      <c r="F16">
        <v>208</v>
      </c>
      <c r="G16">
        <v>13</v>
      </c>
      <c r="H16">
        <v>195</v>
      </c>
      <c r="I16">
        <v>54</v>
      </c>
      <c r="J16">
        <f t="shared" si="0"/>
        <v>2015</v>
      </c>
      <c r="K16">
        <f t="shared" si="1"/>
        <v>3</v>
      </c>
    </row>
    <row r="17" spans="1:11" x14ac:dyDescent="0.35">
      <c r="A17" s="1">
        <v>42124</v>
      </c>
      <c r="B17">
        <v>154.5</v>
      </c>
      <c r="C17">
        <v>101.11499999999999</v>
      </c>
      <c r="D17" s="2" t="s">
        <v>53</v>
      </c>
      <c r="E17" s="2" t="s">
        <v>54</v>
      </c>
      <c r="F17">
        <v>192</v>
      </c>
      <c r="G17">
        <v>5</v>
      </c>
      <c r="H17">
        <v>97</v>
      </c>
      <c r="I17">
        <v>112</v>
      </c>
      <c r="J17">
        <f t="shared" si="0"/>
        <v>2015</v>
      </c>
      <c r="K17">
        <f t="shared" si="1"/>
        <v>4</v>
      </c>
    </row>
    <row r="18" spans="1:11" x14ac:dyDescent="0.35">
      <c r="A18" s="1">
        <v>42155</v>
      </c>
      <c r="B18">
        <v>160.02000000000001</v>
      </c>
      <c r="C18" s="2" t="s">
        <v>55</v>
      </c>
      <c r="D18">
        <v>136.04</v>
      </c>
      <c r="E18" s="2" t="s">
        <v>56</v>
      </c>
      <c r="F18">
        <v>194</v>
      </c>
      <c r="G18">
        <v>10</v>
      </c>
      <c r="H18">
        <v>100</v>
      </c>
      <c r="I18">
        <v>159.5</v>
      </c>
      <c r="J18">
        <f t="shared" si="0"/>
        <v>2015</v>
      </c>
      <c r="K18">
        <f t="shared" si="1"/>
        <v>5</v>
      </c>
    </row>
    <row r="19" spans="1:11" x14ac:dyDescent="0.35">
      <c r="A19" s="1">
        <v>42185</v>
      </c>
      <c r="B19" s="2" t="s">
        <v>57</v>
      </c>
      <c r="C19">
        <v>113.69</v>
      </c>
      <c r="D19">
        <v>145.46</v>
      </c>
      <c r="E19">
        <v>746.78800000000001</v>
      </c>
      <c r="F19">
        <v>217</v>
      </c>
      <c r="G19">
        <v>12</v>
      </c>
      <c r="H19">
        <v>193</v>
      </c>
      <c r="I19" s="2" t="s">
        <v>58</v>
      </c>
      <c r="J19">
        <f t="shared" si="0"/>
        <v>2015</v>
      </c>
      <c r="K19">
        <f t="shared" si="1"/>
        <v>6</v>
      </c>
    </row>
    <row r="20" spans="1:11" x14ac:dyDescent="0.35">
      <c r="A20" s="1">
        <v>42216</v>
      </c>
      <c r="B20" s="2" t="s">
        <v>59</v>
      </c>
      <c r="C20" s="2" t="s">
        <v>60</v>
      </c>
      <c r="D20">
        <v>125.5</v>
      </c>
      <c r="E20" s="2" t="s">
        <v>61</v>
      </c>
      <c r="F20">
        <v>203</v>
      </c>
      <c r="G20">
        <v>6</v>
      </c>
      <c r="H20">
        <v>60</v>
      </c>
      <c r="I20">
        <v>130.30000000000001</v>
      </c>
      <c r="J20">
        <f t="shared" si="0"/>
        <v>2015</v>
      </c>
      <c r="K20">
        <f t="shared" si="1"/>
        <v>7</v>
      </c>
    </row>
    <row r="21" spans="1:11" x14ac:dyDescent="0.35">
      <c r="A21" s="1">
        <v>42247</v>
      </c>
      <c r="B21" s="2" t="s">
        <v>62</v>
      </c>
      <c r="C21" s="2" t="s">
        <v>63</v>
      </c>
      <c r="D21">
        <v>133.4</v>
      </c>
      <c r="E21">
        <v>790.78800000000001</v>
      </c>
      <c r="F21">
        <v>265.5</v>
      </c>
      <c r="G21">
        <v>15</v>
      </c>
      <c r="H21">
        <v>45</v>
      </c>
      <c r="I21">
        <v>83.7</v>
      </c>
      <c r="J21">
        <f t="shared" si="0"/>
        <v>2015</v>
      </c>
      <c r="K21">
        <f t="shared" si="1"/>
        <v>8</v>
      </c>
    </row>
    <row r="22" spans="1:11" x14ac:dyDescent="0.35">
      <c r="A22" s="1">
        <v>42277</v>
      </c>
      <c r="B22" s="2" t="s">
        <v>64</v>
      </c>
      <c r="C22" s="2" t="s">
        <v>65</v>
      </c>
      <c r="D22">
        <v>110.4</v>
      </c>
      <c r="E22">
        <v>852.125</v>
      </c>
      <c r="F22">
        <v>243.5</v>
      </c>
      <c r="G22">
        <v>11</v>
      </c>
      <c r="H22">
        <v>91</v>
      </c>
      <c r="I22">
        <v>71</v>
      </c>
      <c r="J22">
        <f t="shared" si="0"/>
        <v>2015</v>
      </c>
      <c r="K22">
        <f t="shared" si="1"/>
        <v>9</v>
      </c>
    </row>
    <row r="23" spans="1:11" x14ac:dyDescent="0.35">
      <c r="A23" s="1">
        <v>42308</v>
      </c>
      <c r="B23" s="2" t="s">
        <v>66</v>
      </c>
      <c r="C23" s="2" t="s">
        <v>67</v>
      </c>
      <c r="D23" s="2" t="s">
        <v>68</v>
      </c>
      <c r="E23" s="2" t="s">
        <v>69</v>
      </c>
      <c r="F23">
        <v>222</v>
      </c>
      <c r="G23">
        <v>8</v>
      </c>
      <c r="H23">
        <v>184</v>
      </c>
      <c r="I23">
        <v>72</v>
      </c>
      <c r="J23">
        <f t="shared" si="0"/>
        <v>2015</v>
      </c>
      <c r="K23">
        <f t="shared" si="1"/>
        <v>10</v>
      </c>
    </row>
    <row r="24" spans="1:11" x14ac:dyDescent="0.35">
      <c r="A24" s="1">
        <v>42338</v>
      </c>
      <c r="B24" s="2" t="s">
        <v>70</v>
      </c>
      <c r="C24">
        <v>128.233</v>
      </c>
      <c r="D24" s="2" t="s">
        <v>71</v>
      </c>
      <c r="E24">
        <v>1277.7249999999999</v>
      </c>
      <c r="F24">
        <v>228</v>
      </c>
      <c r="G24">
        <v>18</v>
      </c>
      <c r="H24">
        <v>195</v>
      </c>
      <c r="I24">
        <v>44</v>
      </c>
      <c r="J24">
        <f t="shared" si="0"/>
        <v>2015</v>
      </c>
      <c r="K24">
        <f t="shared" si="1"/>
        <v>11</v>
      </c>
    </row>
    <row r="25" spans="1:11" x14ac:dyDescent="0.35">
      <c r="A25" s="1">
        <v>42369</v>
      </c>
      <c r="B25" s="2" t="s">
        <v>72</v>
      </c>
      <c r="C25" s="2" t="s">
        <v>73</v>
      </c>
      <c r="D25" s="2" t="s">
        <v>74</v>
      </c>
      <c r="E25" s="2" t="s">
        <v>75</v>
      </c>
      <c r="F25">
        <v>286</v>
      </c>
      <c r="G25">
        <v>28</v>
      </c>
      <c r="H25">
        <v>231</v>
      </c>
      <c r="I25">
        <v>41.73</v>
      </c>
      <c r="J25">
        <f t="shared" si="0"/>
        <v>2015</v>
      </c>
      <c r="K25">
        <f t="shared" si="1"/>
        <v>12</v>
      </c>
    </row>
    <row r="26" spans="1:11" x14ac:dyDescent="0.35">
      <c r="A26" s="1">
        <v>42400</v>
      </c>
      <c r="B26" s="2" t="s">
        <v>76</v>
      </c>
      <c r="C26">
        <v>128.40199999999999</v>
      </c>
      <c r="D26" s="2" t="s">
        <v>77</v>
      </c>
      <c r="E26" s="2" t="s">
        <v>78</v>
      </c>
      <c r="F26">
        <v>248</v>
      </c>
      <c r="G26">
        <v>24</v>
      </c>
      <c r="H26">
        <v>174</v>
      </c>
      <c r="I26">
        <v>56.5</v>
      </c>
      <c r="J26">
        <f t="shared" si="0"/>
        <v>2016</v>
      </c>
      <c r="K26">
        <f t="shared" si="1"/>
        <v>1</v>
      </c>
    </row>
    <row r="27" spans="1:11" x14ac:dyDescent="0.35">
      <c r="A27" s="1">
        <v>42429</v>
      </c>
      <c r="B27" s="2" t="s">
        <v>79</v>
      </c>
      <c r="C27">
        <v>137.52799999999999</v>
      </c>
      <c r="D27" s="2" t="s">
        <v>80</v>
      </c>
      <c r="E27" s="2" t="s">
        <v>81</v>
      </c>
      <c r="F27">
        <v>239</v>
      </c>
      <c r="G27">
        <v>20</v>
      </c>
      <c r="H27">
        <v>245</v>
      </c>
      <c r="I27">
        <v>58</v>
      </c>
      <c r="J27">
        <f t="shared" si="0"/>
        <v>2016</v>
      </c>
      <c r="K27">
        <f t="shared" si="1"/>
        <v>2</v>
      </c>
    </row>
    <row r="28" spans="1:11" x14ac:dyDescent="0.35">
      <c r="A28" s="1">
        <v>42460</v>
      </c>
      <c r="B28" s="2" t="s">
        <v>82</v>
      </c>
      <c r="C28" s="2" t="s">
        <v>83</v>
      </c>
      <c r="D28">
        <v>148.4</v>
      </c>
      <c r="E28" s="2" t="s">
        <v>84</v>
      </c>
      <c r="F28">
        <v>250</v>
      </c>
      <c r="G28">
        <v>13</v>
      </c>
      <c r="H28">
        <v>253</v>
      </c>
      <c r="I28">
        <v>97.84</v>
      </c>
      <c r="J28">
        <f t="shared" si="0"/>
        <v>2016</v>
      </c>
      <c r="K28">
        <f t="shared" si="1"/>
        <v>3</v>
      </c>
    </row>
    <row r="29" spans="1:11" x14ac:dyDescent="0.35">
      <c r="A29" s="1">
        <v>42490</v>
      </c>
      <c r="B29" s="2" t="s">
        <v>85</v>
      </c>
      <c r="C29" s="2" t="s">
        <v>86</v>
      </c>
      <c r="D29">
        <v>147.69999999999999</v>
      </c>
      <c r="E29" s="2" t="s">
        <v>87</v>
      </c>
      <c r="F29">
        <v>318</v>
      </c>
      <c r="G29">
        <v>18</v>
      </c>
      <c r="H29">
        <v>216</v>
      </c>
      <c r="I29" s="2" t="s">
        <v>88</v>
      </c>
      <c r="J29">
        <f t="shared" si="0"/>
        <v>2016</v>
      </c>
      <c r="K29">
        <f t="shared" si="1"/>
        <v>4</v>
      </c>
    </row>
    <row r="30" spans="1:11" x14ac:dyDescent="0.35">
      <c r="A30" s="1">
        <v>42521</v>
      </c>
      <c r="B30" s="2" t="s">
        <v>89</v>
      </c>
      <c r="C30" s="2" t="s">
        <v>90</v>
      </c>
      <c r="D30" s="2" t="s">
        <v>91</v>
      </c>
      <c r="E30" s="2" t="s">
        <v>92</v>
      </c>
      <c r="F30">
        <v>275</v>
      </c>
      <c r="G30">
        <v>18</v>
      </c>
      <c r="H30">
        <v>131</v>
      </c>
      <c r="I30" s="2" t="s">
        <v>93</v>
      </c>
      <c r="J30">
        <f t="shared" si="0"/>
        <v>2016</v>
      </c>
      <c r="K30">
        <f t="shared" si="1"/>
        <v>5</v>
      </c>
    </row>
    <row r="31" spans="1:11" x14ac:dyDescent="0.35">
      <c r="A31" s="1">
        <v>42551</v>
      </c>
      <c r="B31" s="2" t="s">
        <v>94</v>
      </c>
      <c r="C31">
        <v>114.961</v>
      </c>
      <c r="D31">
        <v>117.75</v>
      </c>
      <c r="E31">
        <v>760.05</v>
      </c>
      <c r="F31">
        <v>311</v>
      </c>
      <c r="G31">
        <v>20</v>
      </c>
      <c r="H31">
        <v>127</v>
      </c>
      <c r="I31">
        <v>134.80000000000001</v>
      </c>
      <c r="J31">
        <f t="shared" si="0"/>
        <v>2016</v>
      </c>
      <c r="K31">
        <f t="shared" si="1"/>
        <v>6</v>
      </c>
    </row>
    <row r="32" spans="1:11" x14ac:dyDescent="0.35">
      <c r="A32" s="1">
        <v>42582</v>
      </c>
      <c r="B32" s="2" t="s">
        <v>95</v>
      </c>
      <c r="C32" s="2" t="s">
        <v>96</v>
      </c>
      <c r="D32" s="2" t="s">
        <v>97</v>
      </c>
      <c r="E32" s="2" t="s">
        <v>98</v>
      </c>
      <c r="F32">
        <v>240</v>
      </c>
      <c r="G32">
        <v>8</v>
      </c>
      <c r="H32">
        <v>109</v>
      </c>
      <c r="I32">
        <v>116.83</v>
      </c>
      <c r="J32">
        <f t="shared" si="0"/>
        <v>2016</v>
      </c>
      <c r="K32">
        <f t="shared" si="1"/>
        <v>7</v>
      </c>
    </row>
    <row r="33" spans="1:11" x14ac:dyDescent="0.35">
      <c r="A33" s="1">
        <v>42613</v>
      </c>
      <c r="B33" s="2" t="s">
        <v>99</v>
      </c>
      <c r="C33" s="2" t="s">
        <v>100</v>
      </c>
      <c r="D33">
        <v>132.69999999999999</v>
      </c>
      <c r="E33" s="2" t="s">
        <v>101</v>
      </c>
      <c r="F33">
        <v>275.5</v>
      </c>
      <c r="G33">
        <v>12</v>
      </c>
      <c r="H33">
        <v>116</v>
      </c>
      <c r="I33">
        <v>85.3</v>
      </c>
      <c r="J33">
        <f t="shared" si="0"/>
        <v>2016</v>
      </c>
      <c r="K33">
        <f t="shared" si="1"/>
        <v>8</v>
      </c>
    </row>
    <row r="34" spans="1:11" x14ac:dyDescent="0.35">
      <c r="A34" s="1">
        <v>42643</v>
      </c>
      <c r="B34" s="2" t="s">
        <v>102</v>
      </c>
      <c r="C34" s="2" t="s">
        <v>103</v>
      </c>
      <c r="D34">
        <v>116.7</v>
      </c>
      <c r="E34">
        <v>1118.6990000000001</v>
      </c>
      <c r="F34">
        <v>307</v>
      </c>
      <c r="G34">
        <v>18</v>
      </c>
      <c r="H34">
        <v>121</v>
      </c>
      <c r="I34">
        <v>69.3</v>
      </c>
      <c r="J34">
        <f t="shared" si="0"/>
        <v>2016</v>
      </c>
      <c r="K34">
        <f t="shared" si="1"/>
        <v>9</v>
      </c>
    </row>
    <row r="35" spans="1:11" x14ac:dyDescent="0.35">
      <c r="A35" s="1">
        <v>42674</v>
      </c>
      <c r="B35" s="2" t="s">
        <v>104</v>
      </c>
      <c r="C35" s="2" t="s">
        <v>105</v>
      </c>
      <c r="D35">
        <v>160.15</v>
      </c>
      <c r="E35" s="2" t="s">
        <v>106</v>
      </c>
      <c r="F35">
        <v>312</v>
      </c>
      <c r="G35">
        <v>11</v>
      </c>
      <c r="H35">
        <v>220</v>
      </c>
      <c r="I35">
        <v>60.9</v>
      </c>
      <c r="J35">
        <f t="shared" si="0"/>
        <v>2016</v>
      </c>
      <c r="K35">
        <f t="shared" si="1"/>
        <v>10</v>
      </c>
    </row>
    <row r="36" spans="1:11" x14ac:dyDescent="0.35">
      <c r="A36" s="1">
        <v>42704</v>
      </c>
      <c r="B36" s="2" t="s">
        <v>107</v>
      </c>
      <c r="C36" s="2" t="s">
        <v>108</v>
      </c>
      <c r="D36" s="2" t="s">
        <v>109</v>
      </c>
      <c r="E36" s="2" t="s">
        <v>110</v>
      </c>
      <c r="F36">
        <v>246</v>
      </c>
      <c r="G36">
        <v>27</v>
      </c>
      <c r="H36">
        <v>150</v>
      </c>
      <c r="I36" s="2" t="s">
        <v>111</v>
      </c>
      <c r="J36">
        <f t="shared" si="0"/>
        <v>2016</v>
      </c>
      <c r="K36">
        <f t="shared" si="1"/>
        <v>11</v>
      </c>
    </row>
    <row r="37" spans="1:11" x14ac:dyDescent="0.35">
      <c r="A37" s="1">
        <v>42735</v>
      </c>
      <c r="B37" s="2" t="s">
        <v>112</v>
      </c>
      <c r="C37" s="2" t="s">
        <v>113</v>
      </c>
      <c r="D37" s="2" t="s">
        <v>114</v>
      </c>
      <c r="E37" s="2" t="s">
        <v>115</v>
      </c>
      <c r="F37">
        <v>257</v>
      </c>
      <c r="G37">
        <v>18</v>
      </c>
      <c r="H37">
        <v>275</v>
      </c>
      <c r="I37">
        <v>34.9</v>
      </c>
      <c r="J37">
        <f t="shared" si="0"/>
        <v>2016</v>
      </c>
      <c r="K37">
        <f t="shared" si="1"/>
        <v>12</v>
      </c>
    </row>
    <row r="38" spans="1:11" x14ac:dyDescent="0.35">
      <c r="A38" s="1">
        <v>42766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f t="shared" si="0"/>
        <v>2017</v>
      </c>
      <c r="K38">
        <f t="shared" si="1"/>
        <v>1</v>
      </c>
    </row>
    <row r="39" spans="1:11" x14ac:dyDescent="0.35">
      <c r="A39" s="1">
        <v>42794</v>
      </c>
      <c r="B39" s="2" t="s">
        <v>116</v>
      </c>
      <c r="C39" s="2" t="s">
        <v>117</v>
      </c>
      <c r="D39">
        <v>97</v>
      </c>
      <c r="E39" s="2" t="s">
        <v>118</v>
      </c>
      <c r="F39">
        <v>144</v>
      </c>
      <c r="G39">
        <v>7</v>
      </c>
      <c r="H39">
        <v>117</v>
      </c>
      <c r="I39">
        <v>30.6</v>
      </c>
      <c r="J39">
        <f t="shared" si="0"/>
        <v>2017</v>
      </c>
      <c r="K39">
        <f t="shared" si="1"/>
        <v>2</v>
      </c>
    </row>
    <row r="40" spans="1:11" x14ac:dyDescent="0.35">
      <c r="A40" s="1">
        <v>42825</v>
      </c>
      <c r="B40" s="2" t="s">
        <v>119</v>
      </c>
      <c r="C40">
        <v>111.05500000000001</v>
      </c>
      <c r="D40" s="2" t="s">
        <v>120</v>
      </c>
      <c r="E40" s="2" t="s">
        <v>121</v>
      </c>
      <c r="F40">
        <v>165</v>
      </c>
      <c r="G40">
        <v>9</v>
      </c>
      <c r="H40">
        <v>139</v>
      </c>
      <c r="I40">
        <v>100.1</v>
      </c>
      <c r="J40">
        <f t="shared" si="0"/>
        <v>2017</v>
      </c>
      <c r="K40">
        <f t="shared" si="1"/>
        <v>3</v>
      </c>
    </row>
    <row r="41" spans="1:11" x14ac:dyDescent="0.35">
      <c r="A41" s="1">
        <v>42855</v>
      </c>
      <c r="B41" s="2" t="s">
        <v>122</v>
      </c>
      <c r="C41" s="2" t="s">
        <v>123</v>
      </c>
      <c r="D41">
        <v>100.5</v>
      </c>
      <c r="E41" s="2" t="s">
        <v>124</v>
      </c>
      <c r="F41">
        <v>132</v>
      </c>
      <c r="G41">
        <v>9</v>
      </c>
      <c r="H41">
        <v>209</v>
      </c>
      <c r="I41" s="2" t="s">
        <v>125</v>
      </c>
      <c r="J41">
        <f t="shared" si="0"/>
        <v>2017</v>
      </c>
      <c r="K41">
        <f t="shared" si="1"/>
        <v>4</v>
      </c>
    </row>
    <row r="42" spans="1:11" x14ac:dyDescent="0.35">
      <c r="A42" s="1">
        <v>42886</v>
      </c>
      <c r="B42">
        <v>143.66</v>
      </c>
      <c r="C42" s="2" t="s">
        <v>126</v>
      </c>
      <c r="D42">
        <v>98.95</v>
      </c>
      <c r="E42" s="2" t="s">
        <v>127</v>
      </c>
      <c r="F42">
        <v>148</v>
      </c>
      <c r="G42">
        <v>23</v>
      </c>
      <c r="H42">
        <v>128</v>
      </c>
      <c r="I42">
        <v>161.81</v>
      </c>
      <c r="J42">
        <f t="shared" si="0"/>
        <v>2017</v>
      </c>
      <c r="K42">
        <f t="shared" si="1"/>
        <v>5</v>
      </c>
    </row>
    <row r="43" spans="1:11" x14ac:dyDescent="0.35">
      <c r="A43" s="1">
        <v>42916</v>
      </c>
      <c r="B43">
        <v>122.33</v>
      </c>
      <c r="C43" s="2" t="s">
        <v>128</v>
      </c>
      <c r="D43">
        <v>119.6</v>
      </c>
      <c r="E43">
        <v>496.1</v>
      </c>
      <c r="F43">
        <v>163</v>
      </c>
      <c r="G43">
        <v>8</v>
      </c>
      <c r="H43">
        <v>163</v>
      </c>
      <c r="I43" s="2" t="s">
        <v>129</v>
      </c>
      <c r="J43">
        <f t="shared" si="0"/>
        <v>2017</v>
      </c>
      <c r="K43">
        <f t="shared" si="1"/>
        <v>6</v>
      </c>
    </row>
    <row r="44" spans="1:11" x14ac:dyDescent="0.35">
      <c r="A44" s="1">
        <v>42947</v>
      </c>
      <c r="B44">
        <v>159.66999999999999</v>
      </c>
      <c r="C44" s="2" t="s">
        <v>130</v>
      </c>
      <c r="D44" s="2" t="s">
        <v>131</v>
      </c>
      <c r="E44" s="2" t="s">
        <v>132</v>
      </c>
      <c r="F44">
        <v>219</v>
      </c>
      <c r="G44">
        <v>15</v>
      </c>
      <c r="H44">
        <v>115</v>
      </c>
      <c r="I44">
        <v>81.099999999999994</v>
      </c>
      <c r="J44">
        <f t="shared" si="0"/>
        <v>2017</v>
      </c>
      <c r="K44">
        <f t="shared" si="1"/>
        <v>7</v>
      </c>
    </row>
    <row r="45" spans="1:11" x14ac:dyDescent="0.35">
      <c r="A45" s="1">
        <v>42978</v>
      </c>
      <c r="B45" s="2" t="s">
        <v>133</v>
      </c>
      <c r="C45">
        <v>112.47</v>
      </c>
      <c r="D45">
        <v>84.4</v>
      </c>
      <c r="E45">
        <v>549.29999999999995</v>
      </c>
      <c r="F45">
        <v>239</v>
      </c>
      <c r="G45">
        <v>12</v>
      </c>
      <c r="H45">
        <v>75</v>
      </c>
      <c r="I45">
        <v>60.1</v>
      </c>
      <c r="J45">
        <f t="shared" si="0"/>
        <v>2017</v>
      </c>
      <c r="K45">
        <f t="shared" si="1"/>
        <v>8</v>
      </c>
    </row>
    <row r="46" spans="1:11" x14ac:dyDescent="0.35">
      <c r="A46" s="1">
        <v>43008</v>
      </c>
      <c r="B46">
        <v>138.33000000000001</v>
      </c>
      <c r="C46" s="2" t="s">
        <v>134</v>
      </c>
      <c r="D46" s="2" t="s">
        <v>135</v>
      </c>
      <c r="E46" s="2" t="s">
        <v>136</v>
      </c>
      <c r="F46">
        <v>223</v>
      </c>
      <c r="G46">
        <v>23</v>
      </c>
      <c r="H46">
        <v>139</v>
      </c>
      <c r="I46">
        <v>66.900000000000006</v>
      </c>
      <c r="J46">
        <f t="shared" si="0"/>
        <v>2017</v>
      </c>
      <c r="K46">
        <f t="shared" si="1"/>
        <v>9</v>
      </c>
    </row>
    <row r="47" spans="1:11" x14ac:dyDescent="0.35">
      <c r="A47" s="1">
        <v>43039</v>
      </c>
      <c r="B47" s="2" t="s">
        <v>137</v>
      </c>
      <c r="C47">
        <v>88.736999999999995</v>
      </c>
      <c r="D47" s="2" t="s">
        <v>138</v>
      </c>
      <c r="E47" s="2" t="s">
        <v>139</v>
      </c>
      <c r="F47">
        <v>226</v>
      </c>
      <c r="G47">
        <v>15</v>
      </c>
      <c r="H47">
        <v>247</v>
      </c>
      <c r="I47">
        <v>51</v>
      </c>
      <c r="J47">
        <f t="shared" si="0"/>
        <v>2017</v>
      </c>
      <c r="K47">
        <f t="shared" si="1"/>
        <v>10</v>
      </c>
    </row>
    <row r="48" spans="1:11" x14ac:dyDescent="0.35">
      <c r="A48" s="1">
        <v>43069</v>
      </c>
      <c r="B48" s="2" t="s">
        <v>140</v>
      </c>
      <c r="C48" s="2" t="s">
        <v>141</v>
      </c>
      <c r="D48">
        <v>104.45</v>
      </c>
      <c r="E48" s="2" t="s">
        <v>142</v>
      </c>
      <c r="F48">
        <v>192</v>
      </c>
      <c r="G48">
        <v>15</v>
      </c>
      <c r="H48">
        <v>196</v>
      </c>
      <c r="I48" s="2" t="s">
        <v>143</v>
      </c>
      <c r="J48">
        <f t="shared" si="0"/>
        <v>2017</v>
      </c>
      <c r="K48">
        <f t="shared" si="1"/>
        <v>11</v>
      </c>
    </row>
    <row r="49" spans="1:11" x14ac:dyDescent="0.35">
      <c r="A49" s="1">
        <v>43100</v>
      </c>
      <c r="B49" s="2" t="s">
        <v>144</v>
      </c>
      <c r="C49" s="2" t="s">
        <v>145</v>
      </c>
      <c r="D49" s="2" t="s">
        <v>146</v>
      </c>
      <c r="E49" s="2" t="s">
        <v>147</v>
      </c>
      <c r="F49">
        <v>226</v>
      </c>
      <c r="G49">
        <v>6</v>
      </c>
      <c r="H49">
        <v>204</v>
      </c>
      <c r="I49">
        <v>47.1</v>
      </c>
      <c r="J49">
        <f t="shared" si="0"/>
        <v>2017</v>
      </c>
      <c r="K49">
        <f t="shared" si="1"/>
        <v>12</v>
      </c>
    </row>
    <row r="50" spans="1:11" x14ac:dyDescent="0.35">
      <c r="A50" s="1">
        <v>43131</v>
      </c>
      <c r="B50">
        <v>132.28</v>
      </c>
      <c r="C50" s="2" t="s">
        <v>148</v>
      </c>
      <c r="D50" s="2" t="s">
        <v>149</v>
      </c>
      <c r="E50">
        <v>1134.325</v>
      </c>
      <c r="F50">
        <v>229</v>
      </c>
      <c r="G50">
        <v>11</v>
      </c>
      <c r="H50">
        <v>219</v>
      </c>
      <c r="I50">
        <v>49.5</v>
      </c>
      <c r="J50">
        <f t="shared" si="0"/>
        <v>2018</v>
      </c>
      <c r="K50">
        <f t="shared" si="1"/>
        <v>1</v>
      </c>
    </row>
    <row r="51" spans="1:11" x14ac:dyDescent="0.35">
      <c r="A51" s="1">
        <v>43159</v>
      </c>
      <c r="B51">
        <v>128.36000000000001</v>
      </c>
      <c r="C51" s="2" t="s">
        <v>150</v>
      </c>
      <c r="D51" s="2" t="s">
        <v>151</v>
      </c>
      <c r="E51" s="2" t="s">
        <v>152</v>
      </c>
      <c r="F51">
        <v>268</v>
      </c>
      <c r="G51">
        <v>12</v>
      </c>
      <c r="H51">
        <v>253</v>
      </c>
      <c r="I51">
        <v>39.06</v>
      </c>
      <c r="J51">
        <f t="shared" si="0"/>
        <v>2018</v>
      </c>
      <c r="K51">
        <f t="shared" si="1"/>
        <v>2</v>
      </c>
    </row>
    <row r="52" spans="1:11" x14ac:dyDescent="0.35">
      <c r="A52" s="1">
        <v>43190</v>
      </c>
      <c r="B52">
        <v>146.16</v>
      </c>
      <c r="C52" s="2" t="s">
        <v>153</v>
      </c>
      <c r="D52" s="2" t="s">
        <v>154</v>
      </c>
      <c r="E52" s="2" t="s">
        <v>155</v>
      </c>
      <c r="F52">
        <v>381</v>
      </c>
      <c r="G52">
        <v>42</v>
      </c>
      <c r="H52">
        <v>269</v>
      </c>
      <c r="I52">
        <v>85.5</v>
      </c>
      <c r="J52">
        <f t="shared" si="0"/>
        <v>2018</v>
      </c>
      <c r="K52">
        <f t="shared" si="1"/>
        <v>3</v>
      </c>
    </row>
    <row r="53" spans="1:11" x14ac:dyDescent="0.35">
      <c r="A53" s="1">
        <v>43220</v>
      </c>
      <c r="B53" s="2" t="s">
        <v>156</v>
      </c>
      <c r="C53" s="2" t="s">
        <v>157</v>
      </c>
      <c r="D53" s="2" t="s">
        <v>158</v>
      </c>
      <c r="E53" s="2" t="s">
        <v>159</v>
      </c>
      <c r="F53">
        <v>289</v>
      </c>
      <c r="G53">
        <v>21</v>
      </c>
      <c r="H53">
        <v>229</v>
      </c>
      <c r="I53">
        <v>197.1</v>
      </c>
      <c r="J53">
        <f t="shared" si="0"/>
        <v>2018</v>
      </c>
      <c r="K53">
        <f t="shared" si="1"/>
        <v>4</v>
      </c>
    </row>
    <row r="54" spans="1:11" x14ac:dyDescent="0.35">
      <c r="A54" s="1">
        <v>43251</v>
      </c>
      <c r="B54" s="2" t="s">
        <v>160</v>
      </c>
      <c r="C54" s="2" t="s">
        <v>161</v>
      </c>
      <c r="D54" s="2" t="s">
        <v>162</v>
      </c>
      <c r="E54" s="2" t="s">
        <v>163</v>
      </c>
      <c r="F54">
        <v>259</v>
      </c>
      <c r="G54">
        <v>13</v>
      </c>
      <c r="H54">
        <v>192</v>
      </c>
      <c r="I54" s="2" t="s">
        <v>164</v>
      </c>
      <c r="J54">
        <f t="shared" si="0"/>
        <v>2018</v>
      </c>
      <c r="K54">
        <f t="shared" si="1"/>
        <v>5</v>
      </c>
    </row>
    <row r="55" spans="1:11" x14ac:dyDescent="0.35">
      <c r="A55" s="1">
        <v>43281</v>
      </c>
      <c r="B55">
        <v>141.18</v>
      </c>
      <c r="C55" s="2" t="s">
        <v>165</v>
      </c>
      <c r="D55" s="2" t="s">
        <v>166</v>
      </c>
      <c r="E55">
        <v>584.34299999999996</v>
      </c>
      <c r="F55">
        <v>248</v>
      </c>
      <c r="G55">
        <v>18</v>
      </c>
      <c r="H55">
        <v>101</v>
      </c>
      <c r="I55">
        <v>120.8</v>
      </c>
      <c r="J55">
        <f t="shared" si="0"/>
        <v>2018</v>
      </c>
      <c r="K55">
        <f t="shared" si="1"/>
        <v>6</v>
      </c>
    </row>
    <row r="56" spans="1:11" x14ac:dyDescent="0.35">
      <c r="A56" s="1">
        <v>43312</v>
      </c>
      <c r="B56">
        <v>150.18</v>
      </c>
      <c r="C56" s="2" t="s">
        <v>167</v>
      </c>
      <c r="D56">
        <v>87.2</v>
      </c>
      <c r="E56" s="2" t="s">
        <v>168</v>
      </c>
      <c r="F56">
        <v>283</v>
      </c>
      <c r="G56">
        <v>19</v>
      </c>
      <c r="H56">
        <v>90</v>
      </c>
      <c r="I56">
        <v>122.2</v>
      </c>
      <c r="J56">
        <f t="shared" si="0"/>
        <v>2018</v>
      </c>
      <c r="K56">
        <f t="shared" si="1"/>
        <v>7</v>
      </c>
    </row>
    <row r="57" spans="1:11" x14ac:dyDescent="0.35">
      <c r="A57" s="1">
        <v>43343</v>
      </c>
      <c r="B57" s="2" t="s">
        <v>169</v>
      </c>
      <c r="C57" s="2" t="s">
        <v>170</v>
      </c>
      <c r="D57">
        <v>88.25</v>
      </c>
      <c r="E57">
        <v>733.83799999999997</v>
      </c>
      <c r="F57">
        <v>253</v>
      </c>
      <c r="G57">
        <v>20</v>
      </c>
      <c r="H57">
        <v>159</v>
      </c>
      <c r="I57">
        <v>103.1</v>
      </c>
      <c r="J57">
        <f t="shared" si="0"/>
        <v>2018</v>
      </c>
      <c r="K57">
        <f t="shared" si="1"/>
        <v>8</v>
      </c>
    </row>
    <row r="58" spans="1:11" x14ac:dyDescent="0.35">
      <c r="A58" s="1">
        <v>43373</v>
      </c>
      <c r="B58">
        <v>153.52000000000001</v>
      </c>
      <c r="C58" s="2" t="s">
        <v>171</v>
      </c>
      <c r="D58">
        <v>86.5</v>
      </c>
      <c r="E58" s="2" t="s">
        <v>172</v>
      </c>
      <c r="F58">
        <v>263</v>
      </c>
      <c r="G58">
        <v>12</v>
      </c>
      <c r="H58">
        <v>205</v>
      </c>
      <c r="I58" s="2" t="s">
        <v>173</v>
      </c>
      <c r="J58">
        <f t="shared" si="0"/>
        <v>2018</v>
      </c>
      <c r="K58">
        <f t="shared" si="1"/>
        <v>9</v>
      </c>
    </row>
    <row r="59" spans="1:11" x14ac:dyDescent="0.35">
      <c r="A59" s="1">
        <v>43404</v>
      </c>
      <c r="B59" s="2" t="s">
        <v>174</v>
      </c>
      <c r="C59" s="2" t="s">
        <v>175</v>
      </c>
      <c r="D59" s="2" t="s">
        <v>176</v>
      </c>
      <c r="E59" s="2" t="s">
        <v>177</v>
      </c>
      <c r="F59">
        <v>287</v>
      </c>
      <c r="G59">
        <v>25</v>
      </c>
      <c r="H59">
        <v>353</v>
      </c>
      <c r="I59">
        <v>76.900000000000006</v>
      </c>
      <c r="J59">
        <f t="shared" si="0"/>
        <v>2018</v>
      </c>
      <c r="K59">
        <f t="shared" si="1"/>
        <v>10</v>
      </c>
    </row>
    <row r="60" spans="1:11" x14ac:dyDescent="0.35">
      <c r="A60" s="1">
        <v>43434</v>
      </c>
      <c r="B60" s="2" t="s">
        <v>178</v>
      </c>
      <c r="C60" s="2" t="s">
        <v>179</v>
      </c>
      <c r="D60" s="2" t="s">
        <v>180</v>
      </c>
      <c r="E60">
        <v>995.15</v>
      </c>
      <c r="F60">
        <v>252.2</v>
      </c>
      <c r="G60">
        <v>22</v>
      </c>
      <c r="H60">
        <v>311</v>
      </c>
      <c r="I60" s="2" t="s">
        <v>181</v>
      </c>
      <c r="J60">
        <f t="shared" si="0"/>
        <v>2018</v>
      </c>
      <c r="K60">
        <f t="shared" si="1"/>
        <v>11</v>
      </c>
    </row>
    <row r="61" spans="1:11" x14ac:dyDescent="0.35">
      <c r="A61" s="1">
        <v>43465</v>
      </c>
      <c r="B61" s="2" t="s">
        <v>182</v>
      </c>
      <c r="C61" s="2" t="s">
        <v>183</v>
      </c>
      <c r="D61">
        <v>84.75</v>
      </c>
      <c r="E61">
        <v>1213.95</v>
      </c>
      <c r="F61">
        <v>254</v>
      </c>
      <c r="G61">
        <v>27</v>
      </c>
      <c r="H61">
        <v>384</v>
      </c>
      <c r="I61" s="2" t="s">
        <v>184</v>
      </c>
      <c r="J61">
        <f t="shared" si="0"/>
        <v>2018</v>
      </c>
      <c r="K61">
        <f t="shared" si="1"/>
        <v>12</v>
      </c>
    </row>
    <row r="62" spans="1:11" x14ac:dyDescent="0.35">
      <c r="A62" s="1">
        <v>43496</v>
      </c>
      <c r="B62" s="2" t="s">
        <v>185</v>
      </c>
      <c r="C62" s="2" t="s">
        <v>186</v>
      </c>
      <c r="D62" s="2" t="s">
        <v>187</v>
      </c>
      <c r="E62" s="2" t="s">
        <v>188</v>
      </c>
      <c r="F62">
        <v>295.2</v>
      </c>
      <c r="G62">
        <v>23</v>
      </c>
      <c r="H62">
        <v>386</v>
      </c>
      <c r="I62">
        <v>41.3</v>
      </c>
      <c r="J62">
        <f t="shared" si="0"/>
        <v>2019</v>
      </c>
      <c r="K62">
        <f t="shared" si="1"/>
        <v>1</v>
      </c>
    </row>
    <row r="63" spans="1:11" x14ac:dyDescent="0.35">
      <c r="A63" s="1">
        <v>43524</v>
      </c>
      <c r="B63" s="2" t="s">
        <v>189</v>
      </c>
      <c r="C63" s="2" t="s">
        <v>190</v>
      </c>
      <c r="D63" s="2" t="s">
        <v>191</v>
      </c>
      <c r="E63" s="2" t="s">
        <v>192</v>
      </c>
      <c r="F63" s="2" t="s">
        <v>193</v>
      </c>
      <c r="G63">
        <v>12</v>
      </c>
      <c r="H63">
        <v>226</v>
      </c>
      <c r="I63">
        <v>69.5</v>
      </c>
      <c r="J63">
        <f t="shared" si="0"/>
        <v>2019</v>
      </c>
      <c r="K63">
        <f t="shared" si="1"/>
        <v>2</v>
      </c>
    </row>
    <row r="64" spans="1:11" x14ac:dyDescent="0.35">
      <c r="A64" s="1">
        <v>43555</v>
      </c>
      <c r="B64" s="2" t="s">
        <v>194</v>
      </c>
      <c r="C64" s="2" t="s">
        <v>195</v>
      </c>
      <c r="D64" s="2" t="s">
        <v>196</v>
      </c>
      <c r="E64">
        <v>941.05</v>
      </c>
      <c r="F64">
        <v>301.39999999999998</v>
      </c>
      <c r="G64">
        <v>19</v>
      </c>
      <c r="H64">
        <v>257</v>
      </c>
      <c r="I64" s="2" t="s">
        <v>197</v>
      </c>
      <c r="J64">
        <f t="shared" si="0"/>
        <v>2019</v>
      </c>
      <c r="K64">
        <f t="shared" si="1"/>
        <v>3</v>
      </c>
    </row>
    <row r="65" spans="1:11" x14ac:dyDescent="0.35">
      <c r="A65" s="1">
        <v>43585</v>
      </c>
      <c r="B65" s="2" t="s">
        <v>198</v>
      </c>
      <c r="C65" s="2" t="s">
        <v>199</v>
      </c>
      <c r="D65">
        <v>88.1</v>
      </c>
      <c r="E65" s="2" t="s">
        <v>200</v>
      </c>
      <c r="F65">
        <v>299.39999999999998</v>
      </c>
      <c r="G65">
        <v>22</v>
      </c>
      <c r="H65">
        <v>259</v>
      </c>
      <c r="I65" s="2" t="s">
        <v>201</v>
      </c>
      <c r="J65">
        <f t="shared" si="0"/>
        <v>2019</v>
      </c>
      <c r="K65">
        <f t="shared" si="1"/>
        <v>4</v>
      </c>
    </row>
    <row r="66" spans="1:11" x14ac:dyDescent="0.35">
      <c r="A66" s="1">
        <v>43616</v>
      </c>
      <c r="B66" s="2" t="s">
        <v>202</v>
      </c>
      <c r="C66" s="2" t="s">
        <v>203</v>
      </c>
      <c r="D66">
        <v>104.1</v>
      </c>
      <c r="E66" s="2" t="s">
        <v>204</v>
      </c>
      <c r="F66" s="2" t="s">
        <v>205</v>
      </c>
      <c r="G66">
        <v>26</v>
      </c>
      <c r="H66">
        <v>322</v>
      </c>
      <c r="I66">
        <v>135.4</v>
      </c>
      <c r="J66">
        <f t="shared" si="0"/>
        <v>2019</v>
      </c>
      <c r="K66">
        <f t="shared" si="1"/>
        <v>5</v>
      </c>
    </row>
    <row r="67" spans="1:11" x14ac:dyDescent="0.35">
      <c r="A67" s="1">
        <v>43646</v>
      </c>
      <c r="B67" s="2" t="s">
        <v>206</v>
      </c>
      <c r="C67" s="2" t="s">
        <v>207</v>
      </c>
      <c r="D67">
        <v>103.2</v>
      </c>
      <c r="E67" s="2" t="s">
        <v>208</v>
      </c>
      <c r="F67">
        <v>193</v>
      </c>
      <c r="G67">
        <v>25</v>
      </c>
      <c r="H67">
        <v>142</v>
      </c>
      <c r="I67">
        <v>156.04</v>
      </c>
      <c r="J67">
        <f t="shared" ref="J67:J71" si="2">YEAR(A67)</f>
        <v>2019</v>
      </c>
      <c r="K67">
        <f t="shared" ref="K67:K71" si="3">MONTH(A67)</f>
        <v>6</v>
      </c>
    </row>
    <row r="68" spans="1:11" x14ac:dyDescent="0.35">
      <c r="A68" s="1">
        <v>43677</v>
      </c>
      <c r="B68">
        <v>181</v>
      </c>
      <c r="C68" s="2" t="s">
        <v>209</v>
      </c>
      <c r="D68">
        <v>92.8</v>
      </c>
      <c r="E68">
        <v>649.79999999999995</v>
      </c>
      <c r="F68" s="2" t="s">
        <v>210</v>
      </c>
      <c r="G68">
        <v>20</v>
      </c>
      <c r="H68">
        <v>115</v>
      </c>
      <c r="I68">
        <v>105.2</v>
      </c>
      <c r="J68">
        <f t="shared" si="2"/>
        <v>2019</v>
      </c>
      <c r="K68">
        <f t="shared" si="3"/>
        <v>7</v>
      </c>
    </row>
    <row r="69" spans="1:11" x14ac:dyDescent="0.35">
      <c r="A69" s="1">
        <v>43708</v>
      </c>
      <c r="B69" s="2" t="s">
        <v>211</v>
      </c>
      <c r="C69" s="2" t="s">
        <v>212</v>
      </c>
      <c r="D69" s="2" t="s">
        <v>213</v>
      </c>
      <c r="E69" s="2" t="s">
        <v>214</v>
      </c>
      <c r="F69">
        <v>237</v>
      </c>
      <c r="G69">
        <v>26</v>
      </c>
      <c r="H69">
        <v>145</v>
      </c>
      <c r="I69">
        <v>97.3</v>
      </c>
      <c r="J69">
        <f t="shared" si="2"/>
        <v>2019</v>
      </c>
      <c r="K69">
        <f t="shared" si="3"/>
        <v>8</v>
      </c>
    </row>
    <row r="70" spans="1:11" x14ac:dyDescent="0.35">
      <c r="A70" s="1">
        <v>43738</v>
      </c>
      <c r="B70" s="2" t="s">
        <v>215</v>
      </c>
      <c r="C70" s="2" t="s">
        <v>216</v>
      </c>
      <c r="D70" s="2" t="s">
        <v>217</v>
      </c>
      <c r="E70" s="2" t="s">
        <v>218</v>
      </c>
      <c r="F70" s="2" t="s">
        <v>219</v>
      </c>
      <c r="G70">
        <v>16</v>
      </c>
      <c r="H70">
        <v>161</v>
      </c>
      <c r="I70">
        <v>109.1</v>
      </c>
      <c r="J70">
        <f t="shared" si="2"/>
        <v>2019</v>
      </c>
      <c r="K70">
        <f t="shared" si="3"/>
        <v>9</v>
      </c>
    </row>
    <row r="71" spans="1:11" x14ac:dyDescent="0.35">
      <c r="A71" s="1">
        <v>43769</v>
      </c>
      <c r="B71" s="2" t="s">
        <v>220</v>
      </c>
      <c r="C71">
        <v>37.299999999999997</v>
      </c>
      <c r="D71">
        <v>20.65</v>
      </c>
      <c r="E71" s="2" t="s">
        <v>221</v>
      </c>
      <c r="F71">
        <v>86</v>
      </c>
      <c r="G71">
        <v>7</v>
      </c>
      <c r="H71">
        <v>37</v>
      </c>
      <c r="I71" s="2" t="s">
        <v>222</v>
      </c>
      <c r="J71">
        <f t="shared" si="2"/>
        <v>2019</v>
      </c>
      <c r="K71">
        <f t="shared" si="3"/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17C7-2F08-4F64-BC5F-A3118637BF5D}">
  <dimension ref="A1:E561"/>
  <sheetViews>
    <sheetView workbookViewId="0">
      <selection activeCell="B2" sqref="B2"/>
    </sheetView>
  </sheetViews>
  <sheetFormatPr defaultRowHeight="14.5" x14ac:dyDescent="0.35"/>
  <cols>
    <col min="1" max="1" width="10.08984375" bestFit="1" customWidth="1"/>
  </cols>
  <sheetData>
    <row r="1" spans="1:5" x14ac:dyDescent="0.35">
      <c r="A1" t="s">
        <v>225</v>
      </c>
      <c r="B1" t="s">
        <v>226</v>
      </c>
      <c r="C1" t="s">
        <v>227</v>
      </c>
      <c r="D1" t="s">
        <v>228</v>
      </c>
      <c r="E1" t="s">
        <v>229</v>
      </c>
    </row>
    <row r="2" spans="1:5" x14ac:dyDescent="0.35">
      <c r="A2" s="1" cm="1">
        <f t="array" ref="A2">INDEX(salesmonthly!$A$2:$A$5000, INT((ROW()-2)/8)+1)</f>
        <v>41670</v>
      </c>
      <c r="B2" cm="1">
        <f t="array" ref="B2">INDEX(salesmonthly!$J$2:$J$5000, INT((ROW()-2)/8)+1)</f>
        <v>2014</v>
      </c>
      <c r="C2" cm="1">
        <f t="array" ref="C2">INDEX(salesmonthly!$K$2:$K$5000, INT((ROW()-2)/8)+1)</f>
        <v>1</v>
      </c>
      <c r="D2" t="str" cm="1">
        <f t="array" ref="D2">INDEX(salesmonthly!$B$1:$I$1, MOD(ROW()-2,8)+1)</f>
        <v>M01AB</v>
      </c>
      <c r="E2" t="str" cm="1">
        <f t="array" ref="E2">INDEX(salesmonthly!$B$2:$I$5000, INT((ROW()-2)/8)+1, MOD(ROW()-2,8)+1)</f>
        <v>127.69000000000001</v>
      </c>
    </row>
    <row r="3" spans="1:5" x14ac:dyDescent="0.35">
      <c r="A3" s="1" cm="1">
        <f t="array" ref="A3">INDEX(salesmonthly!$A$2:$A$5000, INT((ROW()-2)/8)+1)</f>
        <v>41670</v>
      </c>
      <c r="B3" cm="1">
        <f t="array" ref="B3">INDEX(salesmonthly!$J$2:$J$5000, INT((ROW()-2)/8)+1)</f>
        <v>2014</v>
      </c>
      <c r="C3" cm="1">
        <f t="array" ref="C3">INDEX(salesmonthly!$K$2:$K$5000, INT((ROW()-2)/8)+1)</f>
        <v>1</v>
      </c>
      <c r="D3" t="str" cm="1">
        <f t="array" ref="D3">INDEX(salesmonthly!$B$1:$I$1, MOD(ROW()-2,8)+1)</f>
        <v>M01AE</v>
      </c>
      <c r="E3" t="str" cm="1">
        <f t="array" ref="E3">INDEX(salesmonthly!$B$2:$I$5000, INT((ROW()-2)/8)+1, MOD(ROW()-2,8)+1)</f>
        <v>99.09000000000005</v>
      </c>
    </row>
    <row r="4" spans="1:5" x14ac:dyDescent="0.35">
      <c r="A4" s="1" cm="1">
        <f t="array" ref="A4">INDEX(salesmonthly!$A$2:$A$5000, INT((ROW()-2)/8)+1)</f>
        <v>41670</v>
      </c>
      <c r="B4" cm="1">
        <f t="array" ref="B4">INDEX(salesmonthly!$J$2:$J$5000, INT((ROW()-2)/8)+1)</f>
        <v>2014</v>
      </c>
      <c r="C4" cm="1">
        <f t="array" ref="C4">INDEX(salesmonthly!$K$2:$K$5000, INT((ROW()-2)/8)+1)</f>
        <v>1</v>
      </c>
      <c r="D4" t="str" cm="1">
        <f t="array" ref="D4">INDEX(salesmonthly!$B$1:$I$1, MOD(ROW()-2,8)+1)</f>
        <v>N02BA</v>
      </c>
      <c r="E4" t="str" cm="1">
        <f t="array" ref="E4">INDEX(salesmonthly!$B$2:$I$5000, INT((ROW()-2)/8)+1, MOD(ROW()-2,8)+1)</f>
        <v>152.09999999999997</v>
      </c>
    </row>
    <row r="5" spans="1:5" x14ac:dyDescent="0.35">
      <c r="A5" s="1" cm="1">
        <f t="array" ref="A5">INDEX(salesmonthly!$A$2:$A$5000, INT((ROW()-2)/8)+1)</f>
        <v>41670</v>
      </c>
      <c r="B5" cm="1">
        <f t="array" ref="B5">INDEX(salesmonthly!$J$2:$J$5000, INT((ROW()-2)/8)+1)</f>
        <v>2014</v>
      </c>
      <c r="C5" cm="1">
        <f t="array" ref="C5">INDEX(salesmonthly!$K$2:$K$5000, INT((ROW()-2)/8)+1)</f>
        <v>1</v>
      </c>
      <c r="D5" t="str" cm="1">
        <f t="array" ref="D5">INDEX(salesmonthly!$B$1:$I$1, MOD(ROW()-2,8)+1)</f>
        <v>N02BE</v>
      </c>
      <c r="E5" t="str" cm="1">
        <f t="array" ref="E5">INDEX(salesmonthly!$B$2:$I$5000, INT((ROW()-2)/8)+1, MOD(ROW()-2,8)+1)</f>
        <v>878.0300000000002</v>
      </c>
    </row>
    <row r="6" spans="1:5" x14ac:dyDescent="0.35">
      <c r="A6" s="1" cm="1">
        <f t="array" ref="A6">INDEX(salesmonthly!$A$2:$A$5000, INT((ROW()-2)/8)+1)</f>
        <v>41670</v>
      </c>
      <c r="B6" cm="1">
        <f t="array" ref="B6">INDEX(salesmonthly!$J$2:$J$5000, INT((ROW()-2)/8)+1)</f>
        <v>2014</v>
      </c>
      <c r="C6" cm="1">
        <f t="array" ref="C6">INDEX(salesmonthly!$K$2:$K$5000, INT((ROW()-2)/8)+1)</f>
        <v>1</v>
      </c>
      <c r="D6" t="str" cm="1">
        <f t="array" ref="D6">INDEX(salesmonthly!$B$1:$I$1, MOD(ROW()-2,8)+1)</f>
        <v>N05B</v>
      </c>
      <c r="E6" cm="1">
        <f t="array" ref="E6">INDEX(salesmonthly!$B$2:$I$5000, INT((ROW()-2)/8)+1, MOD(ROW()-2,8)+1)</f>
        <v>354</v>
      </c>
    </row>
    <row r="7" spans="1:5" x14ac:dyDescent="0.35">
      <c r="A7" s="1" cm="1">
        <f t="array" ref="A7">INDEX(salesmonthly!$A$2:$A$5000, INT((ROW()-2)/8)+1)</f>
        <v>41670</v>
      </c>
      <c r="B7" cm="1">
        <f t="array" ref="B7">INDEX(salesmonthly!$J$2:$J$5000, INT((ROW()-2)/8)+1)</f>
        <v>2014</v>
      </c>
      <c r="C7" cm="1">
        <f t="array" ref="C7">INDEX(salesmonthly!$K$2:$K$5000, INT((ROW()-2)/8)+1)</f>
        <v>1</v>
      </c>
      <c r="D7" t="str" cm="1">
        <f t="array" ref="D7">INDEX(salesmonthly!$B$1:$I$1, MOD(ROW()-2,8)+1)</f>
        <v>N05C</v>
      </c>
      <c r="E7" cm="1">
        <f t="array" ref="E7">INDEX(salesmonthly!$B$2:$I$5000, INT((ROW()-2)/8)+1, MOD(ROW()-2,8)+1)</f>
        <v>50</v>
      </c>
    </row>
    <row r="8" spans="1:5" x14ac:dyDescent="0.35">
      <c r="A8" s="1" cm="1">
        <f t="array" ref="A8">INDEX(salesmonthly!$A$2:$A$5000, INT((ROW()-2)/8)+1)</f>
        <v>41670</v>
      </c>
      <c r="B8" cm="1">
        <f t="array" ref="B8">INDEX(salesmonthly!$J$2:$J$5000, INT((ROW()-2)/8)+1)</f>
        <v>2014</v>
      </c>
      <c r="C8" cm="1">
        <f t="array" ref="C8">INDEX(salesmonthly!$K$2:$K$5000, INT((ROW()-2)/8)+1)</f>
        <v>1</v>
      </c>
      <c r="D8" t="str" cm="1">
        <f t="array" ref="D8">INDEX(salesmonthly!$B$1:$I$1, MOD(ROW()-2,8)+1)</f>
        <v>R03</v>
      </c>
      <c r="E8" cm="1">
        <f t="array" ref="E8">INDEX(salesmonthly!$B$2:$I$5000, INT((ROW()-2)/8)+1, MOD(ROW()-2,8)+1)</f>
        <v>112</v>
      </c>
    </row>
    <row r="9" spans="1:5" x14ac:dyDescent="0.35">
      <c r="A9" s="1" cm="1">
        <f t="array" ref="A9">INDEX(salesmonthly!$A$2:$A$5000, INT((ROW()-2)/8)+1)</f>
        <v>41670</v>
      </c>
      <c r="B9" cm="1">
        <f t="array" ref="B9">INDEX(salesmonthly!$J$2:$J$5000, INT((ROW()-2)/8)+1)</f>
        <v>2014</v>
      </c>
      <c r="C9" cm="1">
        <f t="array" ref="C9">INDEX(salesmonthly!$K$2:$K$5000, INT((ROW()-2)/8)+1)</f>
        <v>1</v>
      </c>
      <c r="D9" t="str" cm="1">
        <f t="array" ref="D9">INDEX(salesmonthly!$B$1:$I$1, MOD(ROW()-2,8)+1)</f>
        <v>R06</v>
      </c>
      <c r="E9" cm="1">
        <f t="array" ref="E9">INDEX(salesmonthly!$B$2:$I$5000, INT((ROW()-2)/8)+1, MOD(ROW()-2,8)+1)</f>
        <v>48.2</v>
      </c>
    </row>
    <row r="10" spans="1:5" x14ac:dyDescent="0.35">
      <c r="A10" s="1" cm="1">
        <f t="array" ref="A10">INDEX(salesmonthly!$A$2:$A$5000, INT((ROW()-2)/8)+1)</f>
        <v>41698</v>
      </c>
      <c r="B10" cm="1">
        <f t="array" ref="B10">INDEX(salesmonthly!$J$2:$J$5000, INT((ROW()-2)/8)+1)</f>
        <v>2014</v>
      </c>
      <c r="C10" cm="1">
        <f t="array" ref="C10">INDEX(salesmonthly!$K$2:$K$5000, INT((ROW()-2)/8)+1)</f>
        <v>2</v>
      </c>
      <c r="D10" t="str" cm="1">
        <f t="array" ref="D10">INDEX(salesmonthly!$B$1:$I$1, MOD(ROW()-2,8)+1)</f>
        <v>M01AB</v>
      </c>
      <c r="E10" cm="1">
        <f t="array" ref="E10">INDEX(salesmonthly!$B$2:$I$5000, INT((ROW()-2)/8)+1, MOD(ROW()-2,8)+1)</f>
        <v>133.32</v>
      </c>
    </row>
    <row r="11" spans="1:5" x14ac:dyDescent="0.35">
      <c r="A11" s="1" cm="1">
        <f t="array" ref="A11">INDEX(salesmonthly!$A$2:$A$5000, INT((ROW()-2)/8)+1)</f>
        <v>41698</v>
      </c>
      <c r="B11" cm="1">
        <f t="array" ref="B11">INDEX(salesmonthly!$J$2:$J$5000, INT((ROW()-2)/8)+1)</f>
        <v>2014</v>
      </c>
      <c r="C11" cm="1">
        <f t="array" ref="C11">INDEX(salesmonthly!$K$2:$K$5000, INT((ROW()-2)/8)+1)</f>
        <v>2</v>
      </c>
      <c r="D11" t="str" cm="1">
        <f t="array" ref="D11">INDEX(salesmonthly!$B$1:$I$1, MOD(ROW()-2,8)+1)</f>
        <v>M01AE</v>
      </c>
      <c r="E11" t="str" cm="1">
        <f t="array" ref="E11">INDEX(salesmonthly!$B$2:$I$5000, INT((ROW()-2)/8)+1, MOD(ROW()-2,8)+1)</f>
        <v>126.0500000000001</v>
      </c>
    </row>
    <row r="12" spans="1:5" x14ac:dyDescent="0.35">
      <c r="A12" s="1" cm="1">
        <f t="array" ref="A12">INDEX(salesmonthly!$A$2:$A$5000, INT((ROW()-2)/8)+1)</f>
        <v>41698</v>
      </c>
      <c r="B12" cm="1">
        <f t="array" ref="B12">INDEX(salesmonthly!$J$2:$J$5000, INT((ROW()-2)/8)+1)</f>
        <v>2014</v>
      </c>
      <c r="C12" cm="1">
        <f t="array" ref="C12">INDEX(salesmonthly!$K$2:$K$5000, INT((ROW()-2)/8)+1)</f>
        <v>2</v>
      </c>
      <c r="D12" t="str" cm="1">
        <f t="array" ref="D12">INDEX(salesmonthly!$B$1:$I$1, MOD(ROW()-2,8)+1)</f>
        <v>N02BA</v>
      </c>
      <c r="E12" t="str" cm="1">
        <f t="array" ref="E12">INDEX(salesmonthly!$B$2:$I$5000, INT((ROW()-2)/8)+1, MOD(ROW()-2,8)+1)</f>
        <v>176.99999999999997</v>
      </c>
    </row>
    <row r="13" spans="1:5" x14ac:dyDescent="0.35">
      <c r="A13" s="1" cm="1">
        <f t="array" ref="A13">INDEX(salesmonthly!$A$2:$A$5000, INT((ROW()-2)/8)+1)</f>
        <v>41698</v>
      </c>
      <c r="B13" cm="1">
        <f t="array" ref="B13">INDEX(salesmonthly!$J$2:$J$5000, INT((ROW()-2)/8)+1)</f>
        <v>2014</v>
      </c>
      <c r="C13" cm="1">
        <f t="array" ref="C13">INDEX(salesmonthly!$K$2:$K$5000, INT((ROW()-2)/8)+1)</f>
        <v>2</v>
      </c>
      <c r="D13" t="str" cm="1">
        <f t="array" ref="D13">INDEX(salesmonthly!$B$1:$I$1, MOD(ROW()-2,8)+1)</f>
        <v>N02BE</v>
      </c>
      <c r="E13" t="str" cm="1">
        <f t="array" ref="E13">INDEX(salesmonthly!$B$2:$I$5000, INT((ROW()-2)/8)+1, MOD(ROW()-2,8)+1)</f>
        <v>1001.9000000000001</v>
      </c>
    </row>
    <row r="14" spans="1:5" x14ac:dyDescent="0.35">
      <c r="A14" s="1" cm="1">
        <f t="array" ref="A14">INDEX(salesmonthly!$A$2:$A$5000, INT((ROW()-2)/8)+1)</f>
        <v>41698</v>
      </c>
      <c r="B14" cm="1">
        <f t="array" ref="B14">INDEX(salesmonthly!$J$2:$J$5000, INT((ROW()-2)/8)+1)</f>
        <v>2014</v>
      </c>
      <c r="C14" cm="1">
        <f t="array" ref="C14">INDEX(salesmonthly!$K$2:$K$5000, INT((ROW()-2)/8)+1)</f>
        <v>2</v>
      </c>
      <c r="D14" t="str" cm="1">
        <f t="array" ref="D14">INDEX(salesmonthly!$B$1:$I$1, MOD(ROW()-2,8)+1)</f>
        <v>N05B</v>
      </c>
      <c r="E14" cm="1">
        <f t="array" ref="E14">INDEX(salesmonthly!$B$2:$I$5000, INT((ROW()-2)/8)+1, MOD(ROW()-2,8)+1)</f>
        <v>347</v>
      </c>
    </row>
    <row r="15" spans="1:5" x14ac:dyDescent="0.35">
      <c r="A15" s="1" cm="1">
        <f t="array" ref="A15">INDEX(salesmonthly!$A$2:$A$5000, INT((ROW()-2)/8)+1)</f>
        <v>41698</v>
      </c>
      <c r="B15" cm="1">
        <f t="array" ref="B15">INDEX(salesmonthly!$J$2:$J$5000, INT((ROW()-2)/8)+1)</f>
        <v>2014</v>
      </c>
      <c r="C15" cm="1">
        <f t="array" ref="C15">INDEX(salesmonthly!$K$2:$K$5000, INT((ROW()-2)/8)+1)</f>
        <v>2</v>
      </c>
      <c r="D15" t="str" cm="1">
        <f t="array" ref="D15">INDEX(salesmonthly!$B$1:$I$1, MOD(ROW()-2,8)+1)</f>
        <v>N05C</v>
      </c>
      <c r="E15" cm="1">
        <f t="array" ref="E15">INDEX(salesmonthly!$B$2:$I$5000, INT((ROW()-2)/8)+1, MOD(ROW()-2,8)+1)</f>
        <v>31</v>
      </c>
    </row>
    <row r="16" spans="1:5" x14ac:dyDescent="0.35">
      <c r="A16" s="1" cm="1">
        <f t="array" ref="A16">INDEX(salesmonthly!$A$2:$A$5000, INT((ROW()-2)/8)+1)</f>
        <v>41698</v>
      </c>
      <c r="B16" cm="1">
        <f t="array" ref="B16">INDEX(salesmonthly!$J$2:$J$5000, INT((ROW()-2)/8)+1)</f>
        <v>2014</v>
      </c>
      <c r="C16" cm="1">
        <f t="array" ref="C16">INDEX(salesmonthly!$K$2:$K$5000, INT((ROW()-2)/8)+1)</f>
        <v>2</v>
      </c>
      <c r="D16" t="str" cm="1">
        <f t="array" ref="D16">INDEX(salesmonthly!$B$1:$I$1, MOD(ROW()-2,8)+1)</f>
        <v>R03</v>
      </c>
      <c r="E16" cm="1">
        <f t="array" ref="E16">INDEX(salesmonthly!$B$2:$I$5000, INT((ROW()-2)/8)+1, MOD(ROW()-2,8)+1)</f>
        <v>122</v>
      </c>
    </row>
    <row r="17" spans="1:5" x14ac:dyDescent="0.35">
      <c r="A17" s="1" cm="1">
        <f t="array" ref="A17">INDEX(salesmonthly!$A$2:$A$5000, INT((ROW()-2)/8)+1)</f>
        <v>41698</v>
      </c>
      <c r="B17" cm="1">
        <f t="array" ref="B17">INDEX(salesmonthly!$J$2:$J$5000, INT((ROW()-2)/8)+1)</f>
        <v>2014</v>
      </c>
      <c r="C17" cm="1">
        <f t="array" ref="C17">INDEX(salesmonthly!$K$2:$K$5000, INT((ROW()-2)/8)+1)</f>
        <v>2</v>
      </c>
      <c r="D17" t="str" cm="1">
        <f t="array" ref="D17">INDEX(salesmonthly!$B$1:$I$1, MOD(ROW()-2,8)+1)</f>
        <v>R06</v>
      </c>
      <c r="E17" cm="1">
        <f t="array" ref="E17">INDEX(salesmonthly!$B$2:$I$5000, INT((ROW()-2)/8)+1, MOD(ROW()-2,8)+1)</f>
        <v>36.200000000000003</v>
      </c>
    </row>
    <row r="18" spans="1:5" x14ac:dyDescent="0.35">
      <c r="A18" s="1" cm="1">
        <f t="array" ref="A18">INDEX(salesmonthly!$A$2:$A$5000, INT((ROW()-2)/8)+1)</f>
        <v>41729</v>
      </c>
      <c r="B18" cm="1">
        <f t="array" ref="B18">INDEX(salesmonthly!$J$2:$J$5000, INT((ROW()-2)/8)+1)</f>
        <v>2014</v>
      </c>
      <c r="C18" cm="1">
        <f t="array" ref="C18">INDEX(salesmonthly!$K$2:$K$5000, INT((ROW()-2)/8)+1)</f>
        <v>3</v>
      </c>
      <c r="D18" t="str" cm="1">
        <f t="array" ref="D18">INDEX(salesmonthly!$B$1:$I$1, MOD(ROW()-2,8)+1)</f>
        <v>M01AB</v>
      </c>
      <c r="E18" t="str" cm="1">
        <f t="array" ref="E18">INDEX(salesmonthly!$B$2:$I$5000, INT((ROW()-2)/8)+1, MOD(ROW()-2,8)+1)</f>
        <v>137.44000000000005</v>
      </c>
    </row>
    <row r="19" spans="1:5" x14ac:dyDescent="0.35">
      <c r="A19" s="1" cm="1">
        <f t="array" ref="A19">INDEX(salesmonthly!$A$2:$A$5000, INT((ROW()-2)/8)+1)</f>
        <v>41729</v>
      </c>
      <c r="B19" cm="1">
        <f t="array" ref="B19">INDEX(salesmonthly!$J$2:$J$5000, INT((ROW()-2)/8)+1)</f>
        <v>2014</v>
      </c>
      <c r="C19" cm="1">
        <f t="array" ref="C19">INDEX(salesmonthly!$K$2:$K$5000, INT((ROW()-2)/8)+1)</f>
        <v>3</v>
      </c>
      <c r="D19" t="str" cm="1">
        <f t="array" ref="D19">INDEX(salesmonthly!$B$1:$I$1, MOD(ROW()-2,8)+1)</f>
        <v>M01AE</v>
      </c>
      <c r="E19" t="str" cm="1">
        <f t="array" ref="E19">INDEX(salesmonthly!$B$2:$I$5000, INT((ROW()-2)/8)+1, MOD(ROW()-2,8)+1)</f>
        <v>92.95000000000007</v>
      </c>
    </row>
    <row r="20" spans="1:5" x14ac:dyDescent="0.35">
      <c r="A20" s="1" cm="1">
        <f t="array" ref="A20">INDEX(salesmonthly!$A$2:$A$5000, INT((ROW()-2)/8)+1)</f>
        <v>41729</v>
      </c>
      <c r="B20" cm="1">
        <f t="array" ref="B20">INDEX(salesmonthly!$J$2:$J$5000, INT((ROW()-2)/8)+1)</f>
        <v>2014</v>
      </c>
      <c r="C20" cm="1">
        <f t="array" ref="C20">INDEX(salesmonthly!$K$2:$K$5000, INT((ROW()-2)/8)+1)</f>
        <v>3</v>
      </c>
      <c r="D20" t="str" cm="1">
        <f t="array" ref="D20">INDEX(salesmonthly!$B$1:$I$1, MOD(ROW()-2,8)+1)</f>
        <v>N02BA</v>
      </c>
      <c r="E20" cm="1">
        <f t="array" ref="E20">INDEX(salesmonthly!$B$2:$I$5000, INT((ROW()-2)/8)+1, MOD(ROW()-2,8)+1)</f>
        <v>147.655</v>
      </c>
    </row>
    <row r="21" spans="1:5" x14ac:dyDescent="0.35">
      <c r="A21" s="1" cm="1">
        <f t="array" ref="A21">INDEX(salesmonthly!$A$2:$A$5000, INT((ROW()-2)/8)+1)</f>
        <v>41729</v>
      </c>
      <c r="B21" cm="1">
        <f t="array" ref="B21">INDEX(salesmonthly!$J$2:$J$5000, INT((ROW()-2)/8)+1)</f>
        <v>2014</v>
      </c>
      <c r="C21" cm="1">
        <f t="array" ref="C21">INDEX(salesmonthly!$K$2:$K$5000, INT((ROW()-2)/8)+1)</f>
        <v>3</v>
      </c>
      <c r="D21" t="str" cm="1">
        <f t="array" ref="D21">INDEX(salesmonthly!$B$1:$I$1, MOD(ROW()-2,8)+1)</f>
        <v>N02BE</v>
      </c>
      <c r="E21" cm="1">
        <f t="array" ref="E21">INDEX(salesmonthly!$B$2:$I$5000, INT((ROW()-2)/8)+1, MOD(ROW()-2,8)+1)</f>
        <v>779.27499999999998</v>
      </c>
    </row>
    <row r="22" spans="1:5" x14ac:dyDescent="0.35">
      <c r="A22" s="1" cm="1">
        <f t="array" ref="A22">INDEX(salesmonthly!$A$2:$A$5000, INT((ROW()-2)/8)+1)</f>
        <v>41729</v>
      </c>
      <c r="B22" cm="1">
        <f t="array" ref="B22">INDEX(salesmonthly!$J$2:$J$5000, INT((ROW()-2)/8)+1)</f>
        <v>2014</v>
      </c>
      <c r="C22" cm="1">
        <f t="array" ref="C22">INDEX(salesmonthly!$K$2:$K$5000, INT((ROW()-2)/8)+1)</f>
        <v>3</v>
      </c>
      <c r="D22" t="str" cm="1">
        <f t="array" ref="D22">INDEX(salesmonthly!$B$1:$I$1, MOD(ROW()-2,8)+1)</f>
        <v>N05B</v>
      </c>
      <c r="E22" cm="1">
        <f t="array" ref="E22">INDEX(salesmonthly!$B$2:$I$5000, INT((ROW()-2)/8)+1, MOD(ROW()-2,8)+1)</f>
        <v>232</v>
      </c>
    </row>
    <row r="23" spans="1:5" x14ac:dyDescent="0.35">
      <c r="A23" s="1" cm="1">
        <f t="array" ref="A23">INDEX(salesmonthly!$A$2:$A$5000, INT((ROW()-2)/8)+1)</f>
        <v>41729</v>
      </c>
      <c r="B23" cm="1">
        <f t="array" ref="B23">INDEX(salesmonthly!$J$2:$J$5000, INT((ROW()-2)/8)+1)</f>
        <v>2014</v>
      </c>
      <c r="C23" cm="1">
        <f t="array" ref="C23">INDEX(salesmonthly!$K$2:$K$5000, INT((ROW()-2)/8)+1)</f>
        <v>3</v>
      </c>
      <c r="D23" t="str" cm="1">
        <f t="array" ref="D23">INDEX(salesmonthly!$B$1:$I$1, MOD(ROW()-2,8)+1)</f>
        <v>N05C</v>
      </c>
      <c r="E23" cm="1">
        <f t="array" ref="E23">INDEX(salesmonthly!$B$2:$I$5000, INT((ROW()-2)/8)+1, MOD(ROW()-2,8)+1)</f>
        <v>20</v>
      </c>
    </row>
    <row r="24" spans="1:5" x14ac:dyDescent="0.35">
      <c r="A24" s="1" cm="1">
        <f t="array" ref="A24">INDEX(salesmonthly!$A$2:$A$5000, INT((ROW()-2)/8)+1)</f>
        <v>41729</v>
      </c>
      <c r="B24" cm="1">
        <f t="array" ref="B24">INDEX(salesmonthly!$J$2:$J$5000, INT((ROW()-2)/8)+1)</f>
        <v>2014</v>
      </c>
      <c r="C24" cm="1">
        <f t="array" ref="C24">INDEX(salesmonthly!$K$2:$K$5000, INT((ROW()-2)/8)+1)</f>
        <v>3</v>
      </c>
      <c r="D24" t="str" cm="1">
        <f t="array" ref="D24">INDEX(salesmonthly!$B$1:$I$1, MOD(ROW()-2,8)+1)</f>
        <v>R03</v>
      </c>
      <c r="E24" cm="1">
        <f t="array" ref="E24">INDEX(salesmonthly!$B$2:$I$5000, INT((ROW()-2)/8)+1, MOD(ROW()-2,8)+1)</f>
        <v>112</v>
      </c>
    </row>
    <row r="25" spans="1:5" x14ac:dyDescent="0.35">
      <c r="A25" s="1" cm="1">
        <f t="array" ref="A25">INDEX(salesmonthly!$A$2:$A$5000, INT((ROW()-2)/8)+1)</f>
        <v>41729</v>
      </c>
      <c r="B25" cm="1">
        <f t="array" ref="B25">INDEX(salesmonthly!$J$2:$J$5000, INT((ROW()-2)/8)+1)</f>
        <v>2014</v>
      </c>
      <c r="C25" cm="1">
        <f t="array" ref="C25">INDEX(salesmonthly!$K$2:$K$5000, INT((ROW()-2)/8)+1)</f>
        <v>3</v>
      </c>
      <c r="D25" t="str" cm="1">
        <f t="array" ref="D25">INDEX(salesmonthly!$B$1:$I$1, MOD(ROW()-2,8)+1)</f>
        <v>R06</v>
      </c>
      <c r="E25" cm="1">
        <f t="array" ref="E25">INDEX(salesmonthly!$B$2:$I$5000, INT((ROW()-2)/8)+1, MOD(ROW()-2,8)+1)</f>
        <v>85.4</v>
      </c>
    </row>
    <row r="26" spans="1:5" x14ac:dyDescent="0.35">
      <c r="A26" s="1" cm="1">
        <f t="array" ref="A26">INDEX(salesmonthly!$A$2:$A$5000, INT((ROW()-2)/8)+1)</f>
        <v>41759</v>
      </c>
      <c r="B26" cm="1">
        <f t="array" ref="B26">INDEX(salesmonthly!$J$2:$J$5000, INT((ROW()-2)/8)+1)</f>
        <v>2014</v>
      </c>
      <c r="C26" cm="1">
        <f t="array" ref="C26">INDEX(salesmonthly!$K$2:$K$5000, INT((ROW()-2)/8)+1)</f>
        <v>4</v>
      </c>
      <c r="D26" t="str" cm="1">
        <f t="array" ref="D26">INDEX(salesmonthly!$B$1:$I$1, MOD(ROW()-2,8)+1)</f>
        <v>M01AB</v>
      </c>
      <c r="E26" t="str" cm="1">
        <f t="array" ref="E26">INDEX(salesmonthly!$B$2:$I$5000, INT((ROW()-2)/8)+1, MOD(ROW()-2,8)+1)</f>
        <v>113.10000000000004</v>
      </c>
    </row>
    <row r="27" spans="1:5" x14ac:dyDescent="0.35">
      <c r="A27" s="1" cm="1">
        <f t="array" ref="A27">INDEX(salesmonthly!$A$2:$A$5000, INT((ROW()-2)/8)+1)</f>
        <v>41759</v>
      </c>
      <c r="B27" cm="1">
        <f t="array" ref="B27">INDEX(salesmonthly!$J$2:$J$5000, INT((ROW()-2)/8)+1)</f>
        <v>2014</v>
      </c>
      <c r="C27" cm="1">
        <f t="array" ref="C27">INDEX(salesmonthly!$K$2:$K$5000, INT((ROW()-2)/8)+1)</f>
        <v>4</v>
      </c>
      <c r="D27" t="str" cm="1">
        <f t="array" ref="D27">INDEX(salesmonthly!$B$1:$I$1, MOD(ROW()-2,8)+1)</f>
        <v>M01AE</v>
      </c>
      <c r="E27" t="str" cm="1">
        <f t="array" ref="E27">INDEX(salesmonthly!$B$2:$I$5000, INT((ROW()-2)/8)+1, MOD(ROW()-2,8)+1)</f>
        <v>89.47500000000008</v>
      </c>
    </row>
    <row r="28" spans="1:5" x14ac:dyDescent="0.35">
      <c r="A28" s="1" cm="1">
        <f t="array" ref="A28">INDEX(salesmonthly!$A$2:$A$5000, INT((ROW()-2)/8)+1)</f>
        <v>41759</v>
      </c>
      <c r="B28" cm="1">
        <f t="array" ref="B28">INDEX(salesmonthly!$J$2:$J$5000, INT((ROW()-2)/8)+1)</f>
        <v>2014</v>
      </c>
      <c r="C28" cm="1">
        <f t="array" ref="C28">INDEX(salesmonthly!$K$2:$K$5000, INT((ROW()-2)/8)+1)</f>
        <v>4</v>
      </c>
      <c r="D28" t="str" cm="1">
        <f t="array" ref="D28">INDEX(salesmonthly!$B$1:$I$1, MOD(ROW()-2,8)+1)</f>
        <v>N02BA</v>
      </c>
      <c r="E28" t="str" cm="1">
        <f t="array" ref="E28">INDEX(salesmonthly!$B$2:$I$5000, INT((ROW()-2)/8)+1, MOD(ROW()-2,8)+1)</f>
        <v>130.89999999999998</v>
      </c>
    </row>
    <row r="29" spans="1:5" x14ac:dyDescent="0.35">
      <c r="A29" s="1" cm="1">
        <f t="array" ref="A29">INDEX(salesmonthly!$A$2:$A$5000, INT((ROW()-2)/8)+1)</f>
        <v>41759</v>
      </c>
      <c r="B29" cm="1">
        <f t="array" ref="B29">INDEX(salesmonthly!$J$2:$J$5000, INT((ROW()-2)/8)+1)</f>
        <v>2014</v>
      </c>
      <c r="C29" cm="1">
        <f t="array" ref="C29">INDEX(salesmonthly!$K$2:$K$5000, INT((ROW()-2)/8)+1)</f>
        <v>4</v>
      </c>
      <c r="D29" t="str" cm="1">
        <f t="array" ref="D29">INDEX(salesmonthly!$B$1:$I$1, MOD(ROW()-2,8)+1)</f>
        <v>N02BE</v>
      </c>
      <c r="E29" cm="1">
        <f t="array" ref="E29">INDEX(salesmonthly!$B$2:$I$5000, INT((ROW()-2)/8)+1, MOD(ROW()-2,8)+1)</f>
        <v>698.5</v>
      </c>
    </row>
    <row r="30" spans="1:5" x14ac:dyDescent="0.35">
      <c r="A30" s="1" cm="1">
        <f t="array" ref="A30">INDEX(salesmonthly!$A$2:$A$5000, INT((ROW()-2)/8)+1)</f>
        <v>41759</v>
      </c>
      <c r="B30" cm="1">
        <f t="array" ref="B30">INDEX(salesmonthly!$J$2:$J$5000, INT((ROW()-2)/8)+1)</f>
        <v>2014</v>
      </c>
      <c r="C30" cm="1">
        <f t="array" ref="C30">INDEX(salesmonthly!$K$2:$K$5000, INT((ROW()-2)/8)+1)</f>
        <v>4</v>
      </c>
      <c r="D30" t="str" cm="1">
        <f t="array" ref="D30">INDEX(salesmonthly!$B$1:$I$1, MOD(ROW()-2,8)+1)</f>
        <v>N05B</v>
      </c>
      <c r="E30" cm="1">
        <f t="array" ref="E30">INDEX(salesmonthly!$B$2:$I$5000, INT((ROW()-2)/8)+1, MOD(ROW()-2,8)+1)</f>
        <v>209</v>
      </c>
    </row>
    <row r="31" spans="1:5" x14ac:dyDescent="0.35">
      <c r="A31" s="1" cm="1">
        <f t="array" ref="A31">INDEX(salesmonthly!$A$2:$A$5000, INT((ROW()-2)/8)+1)</f>
        <v>41759</v>
      </c>
      <c r="B31" cm="1">
        <f t="array" ref="B31">INDEX(salesmonthly!$J$2:$J$5000, INT((ROW()-2)/8)+1)</f>
        <v>2014</v>
      </c>
      <c r="C31" cm="1">
        <f t="array" ref="C31">INDEX(salesmonthly!$K$2:$K$5000, INT((ROW()-2)/8)+1)</f>
        <v>4</v>
      </c>
      <c r="D31" t="str" cm="1">
        <f t="array" ref="D31">INDEX(salesmonthly!$B$1:$I$1, MOD(ROW()-2,8)+1)</f>
        <v>N05C</v>
      </c>
      <c r="E31" cm="1">
        <f t="array" ref="E31">INDEX(salesmonthly!$B$2:$I$5000, INT((ROW()-2)/8)+1, MOD(ROW()-2,8)+1)</f>
        <v>18</v>
      </c>
    </row>
    <row r="32" spans="1:5" x14ac:dyDescent="0.35">
      <c r="A32" s="1" cm="1">
        <f t="array" ref="A32">INDEX(salesmonthly!$A$2:$A$5000, INT((ROW()-2)/8)+1)</f>
        <v>41759</v>
      </c>
      <c r="B32" cm="1">
        <f t="array" ref="B32">INDEX(salesmonthly!$J$2:$J$5000, INT((ROW()-2)/8)+1)</f>
        <v>2014</v>
      </c>
      <c r="C32" cm="1">
        <f t="array" ref="C32">INDEX(salesmonthly!$K$2:$K$5000, INT((ROW()-2)/8)+1)</f>
        <v>4</v>
      </c>
      <c r="D32" t="str" cm="1">
        <f t="array" ref="D32">INDEX(salesmonthly!$B$1:$I$1, MOD(ROW()-2,8)+1)</f>
        <v>R03</v>
      </c>
      <c r="E32" cm="1">
        <f t="array" ref="E32">INDEX(salesmonthly!$B$2:$I$5000, INT((ROW()-2)/8)+1, MOD(ROW()-2,8)+1)</f>
        <v>97</v>
      </c>
    </row>
    <row r="33" spans="1:5" x14ac:dyDescent="0.35">
      <c r="A33" s="1" cm="1">
        <f t="array" ref="A33">INDEX(salesmonthly!$A$2:$A$5000, INT((ROW()-2)/8)+1)</f>
        <v>41759</v>
      </c>
      <c r="B33" cm="1">
        <f t="array" ref="B33">INDEX(salesmonthly!$J$2:$J$5000, INT((ROW()-2)/8)+1)</f>
        <v>2014</v>
      </c>
      <c r="C33" cm="1">
        <f t="array" ref="C33">INDEX(salesmonthly!$K$2:$K$5000, INT((ROW()-2)/8)+1)</f>
        <v>4</v>
      </c>
      <c r="D33" t="str" cm="1">
        <f t="array" ref="D33">INDEX(salesmonthly!$B$1:$I$1, MOD(ROW()-2,8)+1)</f>
        <v>R06</v>
      </c>
      <c r="E33" cm="1">
        <f t="array" ref="E33">INDEX(salesmonthly!$B$2:$I$5000, INT((ROW()-2)/8)+1, MOD(ROW()-2,8)+1)</f>
        <v>73.7</v>
      </c>
    </row>
    <row r="34" spans="1:5" x14ac:dyDescent="0.35">
      <c r="A34" s="1" cm="1">
        <f t="array" ref="A34">INDEX(salesmonthly!$A$2:$A$5000, INT((ROW()-2)/8)+1)</f>
        <v>41790</v>
      </c>
      <c r="B34" cm="1">
        <f t="array" ref="B34">INDEX(salesmonthly!$J$2:$J$5000, INT((ROW()-2)/8)+1)</f>
        <v>2014</v>
      </c>
      <c r="C34" cm="1">
        <f t="array" ref="C34">INDEX(salesmonthly!$K$2:$K$5000, INT((ROW()-2)/8)+1)</f>
        <v>5</v>
      </c>
      <c r="D34" t="str" cm="1">
        <f t="array" ref="D34">INDEX(salesmonthly!$B$1:$I$1, MOD(ROW()-2,8)+1)</f>
        <v>M01AB</v>
      </c>
      <c r="E34" t="str" cm="1">
        <f t="array" ref="E34">INDEX(salesmonthly!$B$2:$I$5000, INT((ROW()-2)/8)+1, MOD(ROW()-2,8)+1)</f>
        <v>101.79000000000005</v>
      </c>
    </row>
    <row r="35" spans="1:5" x14ac:dyDescent="0.35">
      <c r="A35" s="1" cm="1">
        <f t="array" ref="A35">INDEX(salesmonthly!$A$2:$A$5000, INT((ROW()-2)/8)+1)</f>
        <v>41790</v>
      </c>
      <c r="B35" cm="1">
        <f t="array" ref="B35">INDEX(salesmonthly!$J$2:$J$5000, INT((ROW()-2)/8)+1)</f>
        <v>2014</v>
      </c>
      <c r="C35" cm="1">
        <f t="array" ref="C35">INDEX(salesmonthly!$K$2:$K$5000, INT((ROW()-2)/8)+1)</f>
        <v>5</v>
      </c>
      <c r="D35" t="str" cm="1">
        <f t="array" ref="D35">INDEX(salesmonthly!$B$1:$I$1, MOD(ROW()-2,8)+1)</f>
        <v>M01AE</v>
      </c>
      <c r="E35" t="str" cm="1">
        <f t="array" ref="E35">INDEX(salesmonthly!$B$2:$I$5000, INT((ROW()-2)/8)+1, MOD(ROW()-2,8)+1)</f>
        <v>119.93300000000009</v>
      </c>
    </row>
    <row r="36" spans="1:5" x14ac:dyDescent="0.35">
      <c r="A36" s="1" cm="1">
        <f t="array" ref="A36">INDEX(salesmonthly!$A$2:$A$5000, INT((ROW()-2)/8)+1)</f>
        <v>41790</v>
      </c>
      <c r="B36" cm="1">
        <f t="array" ref="B36">INDEX(salesmonthly!$J$2:$J$5000, INT((ROW()-2)/8)+1)</f>
        <v>2014</v>
      </c>
      <c r="C36" cm="1">
        <f t="array" ref="C36">INDEX(salesmonthly!$K$2:$K$5000, INT((ROW()-2)/8)+1)</f>
        <v>5</v>
      </c>
      <c r="D36" t="str" cm="1">
        <f t="array" ref="D36">INDEX(salesmonthly!$B$1:$I$1, MOD(ROW()-2,8)+1)</f>
        <v>N02BA</v>
      </c>
      <c r="E36" cm="1">
        <f t="array" ref="E36">INDEX(salesmonthly!$B$2:$I$5000, INT((ROW()-2)/8)+1, MOD(ROW()-2,8)+1)</f>
        <v>132.1</v>
      </c>
    </row>
    <row r="37" spans="1:5" x14ac:dyDescent="0.35">
      <c r="A37" s="1" cm="1">
        <f t="array" ref="A37">INDEX(salesmonthly!$A$2:$A$5000, INT((ROW()-2)/8)+1)</f>
        <v>41790</v>
      </c>
      <c r="B37" cm="1">
        <f t="array" ref="B37">INDEX(salesmonthly!$J$2:$J$5000, INT((ROW()-2)/8)+1)</f>
        <v>2014</v>
      </c>
      <c r="C37" cm="1">
        <f t="array" ref="C37">INDEX(salesmonthly!$K$2:$K$5000, INT((ROW()-2)/8)+1)</f>
        <v>5</v>
      </c>
      <c r="D37" t="str" cm="1">
        <f t="array" ref="D37">INDEX(salesmonthly!$B$1:$I$1, MOD(ROW()-2,8)+1)</f>
        <v>N02BE</v>
      </c>
      <c r="E37" t="str" cm="1">
        <f t="array" ref="E37">INDEX(salesmonthly!$B$2:$I$5000, INT((ROW()-2)/8)+1, MOD(ROW()-2,8)+1)</f>
        <v>628.7800000000001</v>
      </c>
    </row>
    <row r="38" spans="1:5" x14ac:dyDescent="0.35">
      <c r="A38" s="1" cm="1">
        <f t="array" ref="A38">INDEX(salesmonthly!$A$2:$A$5000, INT((ROW()-2)/8)+1)</f>
        <v>41790</v>
      </c>
      <c r="B38" cm="1">
        <f t="array" ref="B38">INDEX(salesmonthly!$J$2:$J$5000, INT((ROW()-2)/8)+1)</f>
        <v>2014</v>
      </c>
      <c r="C38" cm="1">
        <f t="array" ref="C38">INDEX(salesmonthly!$K$2:$K$5000, INT((ROW()-2)/8)+1)</f>
        <v>5</v>
      </c>
      <c r="D38" t="str" cm="1">
        <f t="array" ref="D38">INDEX(salesmonthly!$B$1:$I$1, MOD(ROW()-2,8)+1)</f>
        <v>N05B</v>
      </c>
      <c r="E38" cm="1">
        <f t="array" ref="E38">INDEX(salesmonthly!$B$2:$I$5000, INT((ROW()-2)/8)+1, MOD(ROW()-2,8)+1)</f>
        <v>270</v>
      </c>
    </row>
    <row r="39" spans="1:5" x14ac:dyDescent="0.35">
      <c r="A39" s="1" cm="1">
        <f t="array" ref="A39">INDEX(salesmonthly!$A$2:$A$5000, INT((ROW()-2)/8)+1)</f>
        <v>41790</v>
      </c>
      <c r="B39" cm="1">
        <f t="array" ref="B39">INDEX(salesmonthly!$J$2:$J$5000, INT((ROW()-2)/8)+1)</f>
        <v>2014</v>
      </c>
      <c r="C39" cm="1">
        <f t="array" ref="C39">INDEX(salesmonthly!$K$2:$K$5000, INT((ROW()-2)/8)+1)</f>
        <v>5</v>
      </c>
      <c r="D39" t="str" cm="1">
        <f t="array" ref="D39">INDEX(salesmonthly!$B$1:$I$1, MOD(ROW()-2,8)+1)</f>
        <v>N05C</v>
      </c>
      <c r="E39" cm="1">
        <f t="array" ref="E39">INDEX(salesmonthly!$B$2:$I$5000, INT((ROW()-2)/8)+1, MOD(ROW()-2,8)+1)</f>
        <v>23</v>
      </c>
    </row>
    <row r="40" spans="1:5" x14ac:dyDescent="0.35">
      <c r="A40" s="1" cm="1">
        <f t="array" ref="A40">INDEX(salesmonthly!$A$2:$A$5000, INT((ROW()-2)/8)+1)</f>
        <v>41790</v>
      </c>
      <c r="B40" cm="1">
        <f t="array" ref="B40">INDEX(salesmonthly!$J$2:$J$5000, INT((ROW()-2)/8)+1)</f>
        <v>2014</v>
      </c>
      <c r="C40" cm="1">
        <f t="array" ref="C40">INDEX(salesmonthly!$K$2:$K$5000, INT((ROW()-2)/8)+1)</f>
        <v>5</v>
      </c>
      <c r="D40" t="str" cm="1">
        <f t="array" ref="D40">INDEX(salesmonthly!$B$1:$I$1, MOD(ROW()-2,8)+1)</f>
        <v>R03</v>
      </c>
      <c r="E40" cm="1">
        <f t="array" ref="E40">INDEX(salesmonthly!$B$2:$I$5000, INT((ROW()-2)/8)+1, MOD(ROW()-2,8)+1)</f>
        <v>107</v>
      </c>
    </row>
    <row r="41" spans="1:5" x14ac:dyDescent="0.35">
      <c r="A41" s="1" cm="1">
        <f t="array" ref="A41">INDEX(salesmonthly!$A$2:$A$5000, INT((ROW()-2)/8)+1)</f>
        <v>41790</v>
      </c>
      <c r="B41" cm="1">
        <f t="array" ref="B41">INDEX(salesmonthly!$J$2:$J$5000, INT((ROW()-2)/8)+1)</f>
        <v>2014</v>
      </c>
      <c r="C41" cm="1">
        <f t="array" ref="C41">INDEX(salesmonthly!$K$2:$K$5000, INT((ROW()-2)/8)+1)</f>
        <v>5</v>
      </c>
      <c r="D41" t="str" cm="1">
        <f t="array" ref="D41">INDEX(salesmonthly!$B$1:$I$1, MOD(ROW()-2,8)+1)</f>
        <v>R06</v>
      </c>
      <c r="E41" t="str" cm="1">
        <f t="array" ref="E41">INDEX(salesmonthly!$B$2:$I$5000, INT((ROW()-2)/8)+1, MOD(ROW()-2,8)+1)</f>
        <v>123.69999999999999</v>
      </c>
    </row>
    <row r="42" spans="1:5" x14ac:dyDescent="0.35">
      <c r="A42" s="1" cm="1">
        <f t="array" ref="A42">INDEX(salesmonthly!$A$2:$A$5000, INT((ROW()-2)/8)+1)</f>
        <v>41820</v>
      </c>
      <c r="B42" cm="1">
        <f t="array" ref="B42">INDEX(salesmonthly!$J$2:$J$5000, INT((ROW()-2)/8)+1)</f>
        <v>2014</v>
      </c>
      <c r="C42" cm="1">
        <f t="array" ref="C42">INDEX(salesmonthly!$K$2:$K$5000, INT((ROW()-2)/8)+1)</f>
        <v>6</v>
      </c>
      <c r="D42" t="str" cm="1">
        <f t="array" ref="D42">INDEX(salesmonthly!$B$1:$I$1, MOD(ROW()-2,8)+1)</f>
        <v>M01AB</v>
      </c>
      <c r="E42" t="str" cm="1">
        <f t="array" ref="E42">INDEX(salesmonthly!$B$2:$I$5000, INT((ROW()-2)/8)+1, MOD(ROW()-2,8)+1)</f>
        <v>112.07000000000002</v>
      </c>
    </row>
    <row r="43" spans="1:5" x14ac:dyDescent="0.35">
      <c r="A43" s="1" cm="1">
        <f t="array" ref="A43">INDEX(salesmonthly!$A$2:$A$5000, INT((ROW()-2)/8)+1)</f>
        <v>41820</v>
      </c>
      <c r="B43" cm="1">
        <f t="array" ref="B43">INDEX(salesmonthly!$J$2:$J$5000, INT((ROW()-2)/8)+1)</f>
        <v>2014</v>
      </c>
      <c r="C43" cm="1">
        <f t="array" ref="C43">INDEX(salesmonthly!$K$2:$K$5000, INT((ROW()-2)/8)+1)</f>
        <v>6</v>
      </c>
      <c r="D43" t="str" cm="1">
        <f t="array" ref="D43">INDEX(salesmonthly!$B$1:$I$1, MOD(ROW()-2,8)+1)</f>
        <v>M01AE</v>
      </c>
      <c r="E43" t="str" cm="1">
        <f t="array" ref="E43">INDEX(salesmonthly!$B$2:$I$5000, INT((ROW()-2)/8)+1, MOD(ROW()-2,8)+1)</f>
        <v>94.71000000000006</v>
      </c>
    </row>
    <row r="44" spans="1:5" x14ac:dyDescent="0.35">
      <c r="A44" s="1" cm="1">
        <f t="array" ref="A44">INDEX(salesmonthly!$A$2:$A$5000, INT((ROW()-2)/8)+1)</f>
        <v>41820</v>
      </c>
      <c r="B44" cm="1">
        <f t="array" ref="B44">INDEX(salesmonthly!$J$2:$J$5000, INT((ROW()-2)/8)+1)</f>
        <v>2014</v>
      </c>
      <c r="C44" cm="1">
        <f t="array" ref="C44">INDEX(salesmonthly!$K$2:$K$5000, INT((ROW()-2)/8)+1)</f>
        <v>6</v>
      </c>
      <c r="D44" t="str" cm="1">
        <f t="array" ref="D44">INDEX(salesmonthly!$B$1:$I$1, MOD(ROW()-2,8)+1)</f>
        <v>N02BA</v>
      </c>
      <c r="E44" cm="1">
        <f t="array" ref="E44">INDEX(salesmonthly!$B$2:$I$5000, INT((ROW()-2)/8)+1, MOD(ROW()-2,8)+1)</f>
        <v>122.9</v>
      </c>
    </row>
    <row r="45" spans="1:5" x14ac:dyDescent="0.35">
      <c r="A45" s="1" cm="1">
        <f t="array" ref="A45">INDEX(salesmonthly!$A$2:$A$5000, INT((ROW()-2)/8)+1)</f>
        <v>41820</v>
      </c>
      <c r="B45" cm="1">
        <f t="array" ref="B45">INDEX(salesmonthly!$J$2:$J$5000, INT((ROW()-2)/8)+1)</f>
        <v>2014</v>
      </c>
      <c r="C45" cm="1">
        <f t="array" ref="C45">INDEX(salesmonthly!$K$2:$K$5000, INT((ROW()-2)/8)+1)</f>
        <v>6</v>
      </c>
      <c r="D45" t="str" cm="1">
        <f t="array" ref="D45">INDEX(salesmonthly!$B$1:$I$1, MOD(ROW()-2,8)+1)</f>
        <v>N02BE</v>
      </c>
      <c r="E45" cm="1">
        <f t="array" ref="E45">INDEX(salesmonthly!$B$2:$I$5000, INT((ROW()-2)/8)+1, MOD(ROW()-2,8)+1)</f>
        <v>548.22500000000002</v>
      </c>
    </row>
    <row r="46" spans="1:5" x14ac:dyDescent="0.35">
      <c r="A46" s="1" cm="1">
        <f t="array" ref="A46">INDEX(salesmonthly!$A$2:$A$5000, INT((ROW()-2)/8)+1)</f>
        <v>41820</v>
      </c>
      <c r="B46" cm="1">
        <f t="array" ref="B46">INDEX(salesmonthly!$J$2:$J$5000, INT((ROW()-2)/8)+1)</f>
        <v>2014</v>
      </c>
      <c r="C46" cm="1">
        <f t="array" ref="C46">INDEX(salesmonthly!$K$2:$K$5000, INT((ROW()-2)/8)+1)</f>
        <v>6</v>
      </c>
      <c r="D46" t="str" cm="1">
        <f t="array" ref="D46">INDEX(salesmonthly!$B$1:$I$1, MOD(ROW()-2,8)+1)</f>
        <v>N05B</v>
      </c>
      <c r="E46" cm="1">
        <f t="array" ref="E46">INDEX(salesmonthly!$B$2:$I$5000, INT((ROW()-2)/8)+1, MOD(ROW()-2,8)+1)</f>
        <v>323</v>
      </c>
    </row>
    <row r="47" spans="1:5" x14ac:dyDescent="0.35">
      <c r="A47" s="1" cm="1">
        <f t="array" ref="A47">INDEX(salesmonthly!$A$2:$A$5000, INT((ROW()-2)/8)+1)</f>
        <v>41820</v>
      </c>
      <c r="B47" cm="1">
        <f t="array" ref="B47">INDEX(salesmonthly!$J$2:$J$5000, INT((ROW()-2)/8)+1)</f>
        <v>2014</v>
      </c>
      <c r="C47" cm="1">
        <f t="array" ref="C47">INDEX(salesmonthly!$K$2:$K$5000, INT((ROW()-2)/8)+1)</f>
        <v>6</v>
      </c>
      <c r="D47" t="str" cm="1">
        <f t="array" ref="D47">INDEX(salesmonthly!$B$1:$I$1, MOD(ROW()-2,8)+1)</f>
        <v>N05C</v>
      </c>
      <c r="E47" cm="1">
        <f t="array" ref="E47">INDEX(salesmonthly!$B$2:$I$5000, INT((ROW()-2)/8)+1, MOD(ROW()-2,8)+1)</f>
        <v>23</v>
      </c>
    </row>
    <row r="48" spans="1:5" x14ac:dyDescent="0.35">
      <c r="A48" s="1" cm="1">
        <f t="array" ref="A48">INDEX(salesmonthly!$A$2:$A$5000, INT((ROW()-2)/8)+1)</f>
        <v>41820</v>
      </c>
      <c r="B48" cm="1">
        <f t="array" ref="B48">INDEX(salesmonthly!$J$2:$J$5000, INT((ROW()-2)/8)+1)</f>
        <v>2014</v>
      </c>
      <c r="C48" cm="1">
        <f t="array" ref="C48">INDEX(salesmonthly!$K$2:$K$5000, INT((ROW()-2)/8)+1)</f>
        <v>6</v>
      </c>
      <c r="D48" t="str" cm="1">
        <f t="array" ref="D48">INDEX(salesmonthly!$B$1:$I$1, MOD(ROW()-2,8)+1)</f>
        <v>R03</v>
      </c>
      <c r="E48" cm="1">
        <f t="array" ref="E48">INDEX(salesmonthly!$B$2:$I$5000, INT((ROW()-2)/8)+1, MOD(ROW()-2,8)+1)</f>
        <v>57</v>
      </c>
    </row>
    <row r="49" spans="1:5" x14ac:dyDescent="0.35">
      <c r="A49" s="1" cm="1">
        <f t="array" ref="A49">INDEX(salesmonthly!$A$2:$A$5000, INT((ROW()-2)/8)+1)</f>
        <v>41820</v>
      </c>
      <c r="B49" cm="1">
        <f t="array" ref="B49">INDEX(salesmonthly!$J$2:$J$5000, INT((ROW()-2)/8)+1)</f>
        <v>2014</v>
      </c>
      <c r="C49" cm="1">
        <f t="array" ref="C49">INDEX(salesmonthly!$K$2:$K$5000, INT((ROW()-2)/8)+1)</f>
        <v>6</v>
      </c>
      <c r="D49" t="str" cm="1">
        <f t="array" ref="D49">INDEX(salesmonthly!$B$1:$I$1, MOD(ROW()-2,8)+1)</f>
        <v>R06</v>
      </c>
      <c r="E49" cm="1">
        <f t="array" ref="E49">INDEX(salesmonthly!$B$2:$I$5000, INT((ROW()-2)/8)+1, MOD(ROW()-2,8)+1)</f>
        <v>109.3</v>
      </c>
    </row>
    <row r="50" spans="1:5" x14ac:dyDescent="0.35">
      <c r="A50" s="1" cm="1">
        <f t="array" ref="A50">INDEX(salesmonthly!$A$2:$A$5000, INT((ROW()-2)/8)+1)</f>
        <v>41851</v>
      </c>
      <c r="B50" cm="1">
        <f t="array" ref="B50">INDEX(salesmonthly!$J$2:$J$5000, INT((ROW()-2)/8)+1)</f>
        <v>2014</v>
      </c>
      <c r="C50" cm="1">
        <f t="array" ref="C50">INDEX(salesmonthly!$K$2:$K$5000, INT((ROW()-2)/8)+1)</f>
        <v>7</v>
      </c>
      <c r="D50" t="str" cm="1">
        <f t="array" ref="D50">INDEX(salesmonthly!$B$1:$I$1, MOD(ROW()-2,8)+1)</f>
        <v>M01AB</v>
      </c>
      <c r="E50" t="str" cm="1">
        <f t="array" ref="E50">INDEX(salesmonthly!$B$2:$I$5000, INT((ROW()-2)/8)+1, MOD(ROW()-2,8)+1)</f>
        <v>117.06000000000002</v>
      </c>
    </row>
    <row r="51" spans="1:5" x14ac:dyDescent="0.35">
      <c r="A51" s="1" cm="1">
        <f t="array" ref="A51">INDEX(salesmonthly!$A$2:$A$5000, INT((ROW()-2)/8)+1)</f>
        <v>41851</v>
      </c>
      <c r="B51" cm="1">
        <f t="array" ref="B51">INDEX(salesmonthly!$J$2:$J$5000, INT((ROW()-2)/8)+1)</f>
        <v>2014</v>
      </c>
      <c r="C51" cm="1">
        <f t="array" ref="C51">INDEX(salesmonthly!$K$2:$K$5000, INT((ROW()-2)/8)+1)</f>
        <v>7</v>
      </c>
      <c r="D51" t="str" cm="1">
        <f t="array" ref="D51">INDEX(salesmonthly!$B$1:$I$1, MOD(ROW()-2,8)+1)</f>
        <v>M01AE</v>
      </c>
      <c r="E51" t="str" cm="1">
        <f t="array" ref="E51">INDEX(salesmonthly!$B$2:$I$5000, INT((ROW()-2)/8)+1, MOD(ROW()-2,8)+1)</f>
        <v>95.01000000000012</v>
      </c>
    </row>
    <row r="52" spans="1:5" x14ac:dyDescent="0.35">
      <c r="A52" s="1" cm="1">
        <f t="array" ref="A52">INDEX(salesmonthly!$A$2:$A$5000, INT((ROW()-2)/8)+1)</f>
        <v>41851</v>
      </c>
      <c r="B52" cm="1">
        <f t="array" ref="B52">INDEX(salesmonthly!$J$2:$J$5000, INT((ROW()-2)/8)+1)</f>
        <v>2014</v>
      </c>
      <c r="C52" cm="1">
        <f t="array" ref="C52">INDEX(salesmonthly!$K$2:$K$5000, INT((ROW()-2)/8)+1)</f>
        <v>7</v>
      </c>
      <c r="D52" t="str" cm="1">
        <f t="array" ref="D52">INDEX(salesmonthly!$B$1:$I$1, MOD(ROW()-2,8)+1)</f>
        <v>N02BA</v>
      </c>
      <c r="E52" cm="1">
        <f t="array" ref="E52">INDEX(salesmonthly!$B$2:$I$5000, INT((ROW()-2)/8)+1, MOD(ROW()-2,8)+1)</f>
        <v>129.30000000000001</v>
      </c>
    </row>
    <row r="53" spans="1:5" x14ac:dyDescent="0.35">
      <c r="A53" s="1" cm="1">
        <f t="array" ref="A53">INDEX(salesmonthly!$A$2:$A$5000, INT((ROW()-2)/8)+1)</f>
        <v>41851</v>
      </c>
      <c r="B53" cm="1">
        <f t="array" ref="B53">INDEX(salesmonthly!$J$2:$J$5000, INT((ROW()-2)/8)+1)</f>
        <v>2014</v>
      </c>
      <c r="C53" cm="1">
        <f t="array" ref="C53">INDEX(salesmonthly!$K$2:$K$5000, INT((ROW()-2)/8)+1)</f>
        <v>7</v>
      </c>
      <c r="D53" t="str" cm="1">
        <f t="array" ref="D53">INDEX(salesmonthly!$B$1:$I$1, MOD(ROW()-2,8)+1)</f>
        <v>N02BE</v>
      </c>
      <c r="E53" cm="1">
        <f t="array" ref="E53">INDEX(salesmonthly!$B$2:$I$5000, INT((ROW()-2)/8)+1, MOD(ROW()-2,8)+1)</f>
        <v>491.9</v>
      </c>
    </row>
    <row r="54" spans="1:5" x14ac:dyDescent="0.35">
      <c r="A54" s="1" cm="1">
        <f t="array" ref="A54">INDEX(salesmonthly!$A$2:$A$5000, INT((ROW()-2)/8)+1)</f>
        <v>41851</v>
      </c>
      <c r="B54" cm="1">
        <f t="array" ref="B54">INDEX(salesmonthly!$J$2:$J$5000, INT((ROW()-2)/8)+1)</f>
        <v>2014</v>
      </c>
      <c r="C54" cm="1">
        <f t="array" ref="C54">INDEX(salesmonthly!$K$2:$K$5000, INT((ROW()-2)/8)+1)</f>
        <v>7</v>
      </c>
      <c r="D54" t="str" cm="1">
        <f t="array" ref="D54">INDEX(salesmonthly!$B$1:$I$1, MOD(ROW()-2,8)+1)</f>
        <v>N05B</v>
      </c>
      <c r="E54" cm="1">
        <f t="array" ref="E54">INDEX(salesmonthly!$B$2:$I$5000, INT((ROW()-2)/8)+1, MOD(ROW()-2,8)+1)</f>
        <v>348</v>
      </c>
    </row>
    <row r="55" spans="1:5" x14ac:dyDescent="0.35">
      <c r="A55" s="1" cm="1">
        <f t="array" ref="A55">INDEX(salesmonthly!$A$2:$A$5000, INT((ROW()-2)/8)+1)</f>
        <v>41851</v>
      </c>
      <c r="B55" cm="1">
        <f t="array" ref="B55">INDEX(salesmonthly!$J$2:$J$5000, INT((ROW()-2)/8)+1)</f>
        <v>2014</v>
      </c>
      <c r="C55" cm="1">
        <f t="array" ref="C55">INDEX(salesmonthly!$K$2:$K$5000, INT((ROW()-2)/8)+1)</f>
        <v>7</v>
      </c>
      <c r="D55" t="str" cm="1">
        <f t="array" ref="D55">INDEX(salesmonthly!$B$1:$I$1, MOD(ROW()-2,8)+1)</f>
        <v>N05C</v>
      </c>
      <c r="E55" cm="1">
        <f t="array" ref="E55">INDEX(salesmonthly!$B$2:$I$5000, INT((ROW()-2)/8)+1, MOD(ROW()-2,8)+1)</f>
        <v>21</v>
      </c>
    </row>
    <row r="56" spans="1:5" x14ac:dyDescent="0.35">
      <c r="A56" s="1" cm="1">
        <f t="array" ref="A56">INDEX(salesmonthly!$A$2:$A$5000, INT((ROW()-2)/8)+1)</f>
        <v>41851</v>
      </c>
      <c r="B56" cm="1">
        <f t="array" ref="B56">INDEX(salesmonthly!$J$2:$J$5000, INT((ROW()-2)/8)+1)</f>
        <v>2014</v>
      </c>
      <c r="C56" cm="1">
        <f t="array" ref="C56">INDEX(salesmonthly!$K$2:$K$5000, INT((ROW()-2)/8)+1)</f>
        <v>7</v>
      </c>
      <c r="D56" t="str" cm="1">
        <f t="array" ref="D56">INDEX(salesmonthly!$B$1:$I$1, MOD(ROW()-2,8)+1)</f>
        <v>R03</v>
      </c>
      <c r="E56" cm="1">
        <f t="array" ref="E56">INDEX(salesmonthly!$B$2:$I$5000, INT((ROW()-2)/8)+1, MOD(ROW()-2,8)+1)</f>
        <v>61</v>
      </c>
    </row>
    <row r="57" spans="1:5" x14ac:dyDescent="0.35">
      <c r="A57" s="1" cm="1">
        <f t="array" ref="A57">INDEX(salesmonthly!$A$2:$A$5000, INT((ROW()-2)/8)+1)</f>
        <v>41851</v>
      </c>
      <c r="B57" cm="1">
        <f t="array" ref="B57">INDEX(salesmonthly!$J$2:$J$5000, INT((ROW()-2)/8)+1)</f>
        <v>2014</v>
      </c>
      <c r="C57" cm="1">
        <f t="array" ref="C57">INDEX(salesmonthly!$K$2:$K$5000, INT((ROW()-2)/8)+1)</f>
        <v>7</v>
      </c>
      <c r="D57" t="str" cm="1">
        <f t="array" ref="D57">INDEX(salesmonthly!$B$1:$I$1, MOD(ROW()-2,8)+1)</f>
        <v>R06</v>
      </c>
      <c r="E57" cm="1">
        <f t="array" ref="E57">INDEX(salesmonthly!$B$2:$I$5000, INT((ROW()-2)/8)+1, MOD(ROW()-2,8)+1)</f>
        <v>69.099999999999994</v>
      </c>
    </row>
    <row r="58" spans="1:5" x14ac:dyDescent="0.35">
      <c r="A58" s="1" cm="1">
        <f t="array" ref="A58">INDEX(salesmonthly!$A$2:$A$5000, INT((ROW()-2)/8)+1)</f>
        <v>41882</v>
      </c>
      <c r="B58" cm="1">
        <f t="array" ref="B58">INDEX(salesmonthly!$J$2:$J$5000, INT((ROW()-2)/8)+1)</f>
        <v>2014</v>
      </c>
      <c r="C58" cm="1">
        <f t="array" ref="C58">INDEX(salesmonthly!$K$2:$K$5000, INT((ROW()-2)/8)+1)</f>
        <v>8</v>
      </c>
      <c r="D58" t="str" cm="1">
        <f t="array" ref="D58">INDEX(salesmonthly!$B$1:$I$1, MOD(ROW()-2,8)+1)</f>
        <v>M01AB</v>
      </c>
      <c r="E58" t="str" cm="1">
        <f t="array" ref="E58">INDEX(salesmonthly!$B$2:$I$5000, INT((ROW()-2)/8)+1, MOD(ROW()-2,8)+1)</f>
        <v>134.79000000000005</v>
      </c>
    </row>
    <row r="59" spans="1:5" x14ac:dyDescent="0.35">
      <c r="A59" s="1" cm="1">
        <f t="array" ref="A59">INDEX(salesmonthly!$A$2:$A$5000, INT((ROW()-2)/8)+1)</f>
        <v>41882</v>
      </c>
      <c r="B59" cm="1">
        <f t="array" ref="B59">INDEX(salesmonthly!$J$2:$J$5000, INT((ROW()-2)/8)+1)</f>
        <v>2014</v>
      </c>
      <c r="C59" cm="1">
        <f t="array" ref="C59">INDEX(salesmonthly!$K$2:$K$5000, INT((ROW()-2)/8)+1)</f>
        <v>8</v>
      </c>
      <c r="D59" t="str" cm="1">
        <f t="array" ref="D59">INDEX(salesmonthly!$B$1:$I$1, MOD(ROW()-2,8)+1)</f>
        <v>M01AE</v>
      </c>
      <c r="E59" cm="1">
        <f t="array" ref="E59">INDEX(salesmonthly!$B$2:$I$5000, INT((ROW()-2)/8)+1, MOD(ROW()-2,8)+1)</f>
        <v>99.780000000000101</v>
      </c>
    </row>
    <row r="60" spans="1:5" x14ac:dyDescent="0.35">
      <c r="A60" s="1" cm="1">
        <f t="array" ref="A60">INDEX(salesmonthly!$A$2:$A$5000, INT((ROW()-2)/8)+1)</f>
        <v>41882</v>
      </c>
      <c r="B60" cm="1">
        <f t="array" ref="B60">INDEX(salesmonthly!$J$2:$J$5000, INT((ROW()-2)/8)+1)</f>
        <v>2014</v>
      </c>
      <c r="C60" cm="1">
        <f t="array" ref="C60">INDEX(salesmonthly!$K$2:$K$5000, INT((ROW()-2)/8)+1)</f>
        <v>8</v>
      </c>
      <c r="D60" t="str" cm="1">
        <f t="array" ref="D60">INDEX(salesmonthly!$B$1:$I$1, MOD(ROW()-2,8)+1)</f>
        <v>N02BA</v>
      </c>
      <c r="E60" cm="1">
        <f t="array" ref="E60">INDEX(salesmonthly!$B$2:$I$5000, INT((ROW()-2)/8)+1, MOD(ROW()-2,8)+1)</f>
        <v>123.8</v>
      </c>
    </row>
    <row r="61" spans="1:5" x14ac:dyDescent="0.35">
      <c r="A61" s="1" cm="1">
        <f t="array" ref="A61">INDEX(salesmonthly!$A$2:$A$5000, INT((ROW()-2)/8)+1)</f>
        <v>41882</v>
      </c>
      <c r="B61" cm="1">
        <f t="array" ref="B61">INDEX(salesmonthly!$J$2:$J$5000, INT((ROW()-2)/8)+1)</f>
        <v>2014</v>
      </c>
      <c r="C61" cm="1">
        <f t="array" ref="C61">INDEX(salesmonthly!$K$2:$K$5000, INT((ROW()-2)/8)+1)</f>
        <v>8</v>
      </c>
      <c r="D61" t="str" cm="1">
        <f t="array" ref="D61">INDEX(salesmonthly!$B$1:$I$1, MOD(ROW()-2,8)+1)</f>
        <v>N02BE</v>
      </c>
      <c r="E61" t="str" cm="1">
        <f t="array" ref="E61">INDEX(salesmonthly!$B$2:$I$5000, INT((ROW()-2)/8)+1, MOD(ROW()-2,8)+1)</f>
        <v>583.8499999999999</v>
      </c>
    </row>
    <row r="62" spans="1:5" x14ac:dyDescent="0.35">
      <c r="A62" s="1" cm="1">
        <f t="array" ref="A62">INDEX(salesmonthly!$A$2:$A$5000, INT((ROW()-2)/8)+1)</f>
        <v>41882</v>
      </c>
      <c r="B62" cm="1">
        <f t="array" ref="B62">INDEX(salesmonthly!$J$2:$J$5000, INT((ROW()-2)/8)+1)</f>
        <v>2014</v>
      </c>
      <c r="C62" cm="1">
        <f t="array" ref="C62">INDEX(salesmonthly!$K$2:$K$5000, INT((ROW()-2)/8)+1)</f>
        <v>8</v>
      </c>
      <c r="D62" t="str" cm="1">
        <f t="array" ref="D62">INDEX(salesmonthly!$B$1:$I$1, MOD(ROW()-2,8)+1)</f>
        <v>N05B</v>
      </c>
      <c r="E62" cm="1">
        <f t="array" ref="E62">INDEX(salesmonthly!$B$2:$I$5000, INT((ROW()-2)/8)+1, MOD(ROW()-2,8)+1)</f>
        <v>420</v>
      </c>
    </row>
    <row r="63" spans="1:5" x14ac:dyDescent="0.35">
      <c r="A63" s="1" cm="1">
        <f t="array" ref="A63">INDEX(salesmonthly!$A$2:$A$5000, INT((ROW()-2)/8)+1)</f>
        <v>41882</v>
      </c>
      <c r="B63" cm="1">
        <f t="array" ref="B63">INDEX(salesmonthly!$J$2:$J$5000, INT((ROW()-2)/8)+1)</f>
        <v>2014</v>
      </c>
      <c r="C63" cm="1">
        <f t="array" ref="C63">INDEX(salesmonthly!$K$2:$K$5000, INT((ROW()-2)/8)+1)</f>
        <v>8</v>
      </c>
      <c r="D63" t="str" cm="1">
        <f t="array" ref="D63">INDEX(salesmonthly!$B$1:$I$1, MOD(ROW()-2,8)+1)</f>
        <v>N05C</v>
      </c>
      <c r="E63" cm="1">
        <f t="array" ref="E63">INDEX(salesmonthly!$B$2:$I$5000, INT((ROW()-2)/8)+1, MOD(ROW()-2,8)+1)</f>
        <v>29</v>
      </c>
    </row>
    <row r="64" spans="1:5" x14ac:dyDescent="0.35">
      <c r="A64" s="1" cm="1">
        <f t="array" ref="A64">INDEX(salesmonthly!$A$2:$A$5000, INT((ROW()-2)/8)+1)</f>
        <v>41882</v>
      </c>
      <c r="B64" cm="1">
        <f t="array" ref="B64">INDEX(salesmonthly!$J$2:$J$5000, INT((ROW()-2)/8)+1)</f>
        <v>2014</v>
      </c>
      <c r="C64" cm="1">
        <f t="array" ref="C64">INDEX(salesmonthly!$K$2:$K$5000, INT((ROW()-2)/8)+1)</f>
        <v>8</v>
      </c>
      <c r="D64" t="str" cm="1">
        <f t="array" ref="D64">INDEX(salesmonthly!$B$1:$I$1, MOD(ROW()-2,8)+1)</f>
        <v>R03</v>
      </c>
      <c r="E64" cm="1">
        <f t="array" ref="E64">INDEX(salesmonthly!$B$2:$I$5000, INT((ROW()-2)/8)+1, MOD(ROW()-2,8)+1)</f>
        <v>37</v>
      </c>
    </row>
    <row r="65" spans="1:5" x14ac:dyDescent="0.35">
      <c r="A65" s="1" cm="1">
        <f t="array" ref="A65">INDEX(salesmonthly!$A$2:$A$5000, INT((ROW()-2)/8)+1)</f>
        <v>41882</v>
      </c>
      <c r="B65" cm="1">
        <f t="array" ref="B65">INDEX(salesmonthly!$J$2:$J$5000, INT((ROW()-2)/8)+1)</f>
        <v>2014</v>
      </c>
      <c r="C65" cm="1">
        <f t="array" ref="C65">INDEX(salesmonthly!$K$2:$K$5000, INT((ROW()-2)/8)+1)</f>
        <v>8</v>
      </c>
      <c r="D65" t="str" cm="1">
        <f t="array" ref="D65">INDEX(salesmonthly!$B$1:$I$1, MOD(ROW()-2,8)+1)</f>
        <v>R06</v>
      </c>
      <c r="E65" t="str" cm="1">
        <f t="array" ref="E65">INDEX(salesmonthly!$B$2:$I$5000, INT((ROW()-2)/8)+1, MOD(ROW()-2,8)+1)</f>
        <v>70.80000000000001</v>
      </c>
    </row>
    <row r="66" spans="1:5" x14ac:dyDescent="0.35">
      <c r="A66" s="1" cm="1">
        <f t="array" ref="A66">INDEX(salesmonthly!$A$2:$A$5000, INT((ROW()-2)/8)+1)</f>
        <v>41912</v>
      </c>
      <c r="B66" cm="1">
        <f t="array" ref="B66">INDEX(salesmonthly!$J$2:$J$5000, INT((ROW()-2)/8)+1)</f>
        <v>2014</v>
      </c>
      <c r="C66" cm="1">
        <f t="array" ref="C66">INDEX(salesmonthly!$K$2:$K$5000, INT((ROW()-2)/8)+1)</f>
        <v>9</v>
      </c>
      <c r="D66" t="str" cm="1">
        <f t="array" ref="D66">INDEX(salesmonthly!$B$1:$I$1, MOD(ROW()-2,8)+1)</f>
        <v>M01AB</v>
      </c>
      <c r="E66" t="str" cm="1">
        <f t="array" ref="E66">INDEX(salesmonthly!$B$2:$I$5000, INT((ROW()-2)/8)+1, MOD(ROW()-2,8)+1)</f>
        <v>108.78000000000003</v>
      </c>
    </row>
    <row r="67" spans="1:5" x14ac:dyDescent="0.35">
      <c r="A67" s="1" cm="1">
        <f t="array" ref="A67">INDEX(salesmonthly!$A$2:$A$5000, INT((ROW()-2)/8)+1)</f>
        <v>41912</v>
      </c>
      <c r="B67" cm="1">
        <f t="array" ref="B67">INDEX(salesmonthly!$J$2:$J$5000, INT((ROW()-2)/8)+1)</f>
        <v>2014</v>
      </c>
      <c r="C67" cm="1">
        <f t="array" ref="C67">INDEX(salesmonthly!$K$2:$K$5000, INT((ROW()-2)/8)+1)</f>
        <v>9</v>
      </c>
      <c r="D67" t="str" cm="1">
        <f t="array" ref="D67">INDEX(salesmonthly!$B$1:$I$1, MOD(ROW()-2,8)+1)</f>
        <v>M01AE</v>
      </c>
      <c r="E67" t="str" cm="1">
        <f t="array" ref="E67">INDEX(salesmonthly!$B$2:$I$5000, INT((ROW()-2)/8)+1, MOD(ROW()-2,8)+1)</f>
        <v>109.0940000000001</v>
      </c>
    </row>
    <row r="68" spans="1:5" x14ac:dyDescent="0.35">
      <c r="A68" s="1" cm="1">
        <f t="array" ref="A68">INDEX(salesmonthly!$A$2:$A$5000, INT((ROW()-2)/8)+1)</f>
        <v>41912</v>
      </c>
      <c r="B68" cm="1">
        <f t="array" ref="B68">INDEX(salesmonthly!$J$2:$J$5000, INT((ROW()-2)/8)+1)</f>
        <v>2014</v>
      </c>
      <c r="C68" cm="1">
        <f t="array" ref="C68">INDEX(salesmonthly!$K$2:$K$5000, INT((ROW()-2)/8)+1)</f>
        <v>9</v>
      </c>
      <c r="D68" t="str" cm="1">
        <f t="array" ref="D68">INDEX(salesmonthly!$B$1:$I$1, MOD(ROW()-2,8)+1)</f>
        <v>N02BA</v>
      </c>
      <c r="E68" t="str" cm="1">
        <f t="array" ref="E68">INDEX(salesmonthly!$B$2:$I$5000, INT((ROW()-2)/8)+1, MOD(ROW()-2,8)+1)</f>
        <v>122.09999999999998</v>
      </c>
    </row>
    <row r="69" spans="1:5" x14ac:dyDescent="0.35">
      <c r="A69" s="1" cm="1">
        <f t="array" ref="A69">INDEX(salesmonthly!$A$2:$A$5000, INT((ROW()-2)/8)+1)</f>
        <v>41912</v>
      </c>
      <c r="B69" cm="1">
        <f t="array" ref="B69">INDEX(salesmonthly!$J$2:$J$5000, INT((ROW()-2)/8)+1)</f>
        <v>2014</v>
      </c>
      <c r="C69" cm="1">
        <f t="array" ref="C69">INDEX(salesmonthly!$K$2:$K$5000, INT((ROW()-2)/8)+1)</f>
        <v>9</v>
      </c>
      <c r="D69" t="str" cm="1">
        <f t="array" ref="D69">INDEX(salesmonthly!$B$1:$I$1, MOD(ROW()-2,8)+1)</f>
        <v>N02BE</v>
      </c>
      <c r="E69" t="str" cm="1">
        <f t="array" ref="E69">INDEX(salesmonthly!$B$2:$I$5000, INT((ROW()-2)/8)+1, MOD(ROW()-2,8)+1)</f>
        <v>887.8199999999999</v>
      </c>
    </row>
    <row r="70" spans="1:5" x14ac:dyDescent="0.35">
      <c r="A70" s="1" cm="1">
        <f t="array" ref="A70">INDEX(salesmonthly!$A$2:$A$5000, INT((ROW()-2)/8)+1)</f>
        <v>41912</v>
      </c>
      <c r="B70" cm="1">
        <f t="array" ref="B70">INDEX(salesmonthly!$J$2:$J$5000, INT((ROW()-2)/8)+1)</f>
        <v>2014</v>
      </c>
      <c r="C70" cm="1">
        <f t="array" ref="C70">INDEX(salesmonthly!$K$2:$K$5000, INT((ROW()-2)/8)+1)</f>
        <v>9</v>
      </c>
      <c r="D70" t="str" cm="1">
        <f t="array" ref="D70">INDEX(salesmonthly!$B$1:$I$1, MOD(ROW()-2,8)+1)</f>
        <v>N05B</v>
      </c>
      <c r="E70" cm="1">
        <f t="array" ref="E70">INDEX(salesmonthly!$B$2:$I$5000, INT((ROW()-2)/8)+1, MOD(ROW()-2,8)+1)</f>
        <v>399</v>
      </c>
    </row>
    <row r="71" spans="1:5" x14ac:dyDescent="0.35">
      <c r="A71" s="1" cm="1">
        <f t="array" ref="A71">INDEX(salesmonthly!$A$2:$A$5000, INT((ROW()-2)/8)+1)</f>
        <v>41912</v>
      </c>
      <c r="B71" cm="1">
        <f t="array" ref="B71">INDEX(salesmonthly!$J$2:$J$5000, INT((ROW()-2)/8)+1)</f>
        <v>2014</v>
      </c>
      <c r="C71" cm="1">
        <f t="array" ref="C71">INDEX(salesmonthly!$K$2:$K$5000, INT((ROW()-2)/8)+1)</f>
        <v>9</v>
      </c>
      <c r="D71" t="str" cm="1">
        <f t="array" ref="D71">INDEX(salesmonthly!$B$1:$I$1, MOD(ROW()-2,8)+1)</f>
        <v>N05C</v>
      </c>
      <c r="E71" cm="1">
        <f t="array" ref="E71">INDEX(salesmonthly!$B$2:$I$5000, INT((ROW()-2)/8)+1, MOD(ROW()-2,8)+1)</f>
        <v>14</v>
      </c>
    </row>
    <row r="72" spans="1:5" x14ac:dyDescent="0.35">
      <c r="A72" s="1" cm="1">
        <f t="array" ref="A72">INDEX(salesmonthly!$A$2:$A$5000, INT((ROW()-2)/8)+1)</f>
        <v>41912</v>
      </c>
      <c r="B72" cm="1">
        <f t="array" ref="B72">INDEX(salesmonthly!$J$2:$J$5000, INT((ROW()-2)/8)+1)</f>
        <v>2014</v>
      </c>
      <c r="C72" cm="1">
        <f t="array" ref="C72">INDEX(salesmonthly!$K$2:$K$5000, INT((ROW()-2)/8)+1)</f>
        <v>9</v>
      </c>
      <c r="D72" t="str" cm="1">
        <f t="array" ref="D72">INDEX(salesmonthly!$B$1:$I$1, MOD(ROW()-2,8)+1)</f>
        <v>R03</v>
      </c>
      <c r="E72" cm="1">
        <f t="array" ref="E72">INDEX(salesmonthly!$B$2:$I$5000, INT((ROW()-2)/8)+1, MOD(ROW()-2,8)+1)</f>
        <v>115</v>
      </c>
    </row>
    <row r="73" spans="1:5" x14ac:dyDescent="0.35">
      <c r="A73" s="1" cm="1">
        <f t="array" ref="A73">INDEX(salesmonthly!$A$2:$A$5000, INT((ROW()-2)/8)+1)</f>
        <v>41912</v>
      </c>
      <c r="B73" cm="1">
        <f t="array" ref="B73">INDEX(salesmonthly!$J$2:$J$5000, INT((ROW()-2)/8)+1)</f>
        <v>2014</v>
      </c>
      <c r="C73" cm="1">
        <f t="array" ref="C73">INDEX(salesmonthly!$K$2:$K$5000, INT((ROW()-2)/8)+1)</f>
        <v>9</v>
      </c>
      <c r="D73" t="str" cm="1">
        <f t="array" ref="D73">INDEX(salesmonthly!$B$1:$I$1, MOD(ROW()-2,8)+1)</f>
        <v>R06</v>
      </c>
      <c r="E73" cm="1">
        <f t="array" ref="E73">INDEX(salesmonthly!$B$2:$I$5000, INT((ROW()-2)/8)+1, MOD(ROW()-2,8)+1)</f>
        <v>58.8</v>
      </c>
    </row>
    <row r="74" spans="1:5" x14ac:dyDescent="0.35">
      <c r="A74" s="1" cm="1">
        <f t="array" ref="A74">INDEX(salesmonthly!$A$2:$A$5000, INT((ROW()-2)/8)+1)</f>
        <v>41943</v>
      </c>
      <c r="B74" cm="1">
        <f t="array" ref="B74">INDEX(salesmonthly!$J$2:$J$5000, INT((ROW()-2)/8)+1)</f>
        <v>2014</v>
      </c>
      <c r="C74" cm="1">
        <f t="array" ref="C74">INDEX(salesmonthly!$K$2:$K$5000, INT((ROW()-2)/8)+1)</f>
        <v>10</v>
      </c>
      <c r="D74" t="str" cm="1">
        <f t="array" ref="D74">INDEX(salesmonthly!$B$1:$I$1, MOD(ROW()-2,8)+1)</f>
        <v>M01AB</v>
      </c>
      <c r="E74" t="str" cm="1">
        <f t="array" ref="E74">INDEX(salesmonthly!$B$2:$I$5000, INT((ROW()-2)/8)+1, MOD(ROW()-2,8)+1)</f>
        <v>154.75000000000003</v>
      </c>
    </row>
    <row r="75" spans="1:5" x14ac:dyDescent="0.35">
      <c r="A75" s="1" cm="1">
        <f t="array" ref="A75">INDEX(salesmonthly!$A$2:$A$5000, INT((ROW()-2)/8)+1)</f>
        <v>41943</v>
      </c>
      <c r="B75" cm="1">
        <f t="array" ref="B75">INDEX(salesmonthly!$J$2:$J$5000, INT((ROW()-2)/8)+1)</f>
        <v>2014</v>
      </c>
      <c r="C75" cm="1">
        <f t="array" ref="C75">INDEX(salesmonthly!$K$2:$K$5000, INT((ROW()-2)/8)+1)</f>
        <v>10</v>
      </c>
      <c r="D75" t="str" cm="1">
        <f t="array" ref="D75">INDEX(salesmonthly!$B$1:$I$1, MOD(ROW()-2,8)+1)</f>
        <v>M01AE</v>
      </c>
      <c r="E75" t="str" cm="1">
        <f t="array" ref="E75">INDEX(salesmonthly!$B$2:$I$5000, INT((ROW()-2)/8)+1, MOD(ROW()-2,8)+1)</f>
        <v>185.2410000000001</v>
      </c>
    </row>
    <row r="76" spans="1:5" x14ac:dyDescent="0.35">
      <c r="A76" s="1" cm="1">
        <f t="array" ref="A76">INDEX(salesmonthly!$A$2:$A$5000, INT((ROW()-2)/8)+1)</f>
        <v>41943</v>
      </c>
      <c r="B76" cm="1">
        <f t="array" ref="B76">INDEX(salesmonthly!$J$2:$J$5000, INT((ROW()-2)/8)+1)</f>
        <v>2014</v>
      </c>
      <c r="C76" cm="1">
        <f t="array" ref="C76">INDEX(salesmonthly!$K$2:$K$5000, INT((ROW()-2)/8)+1)</f>
        <v>10</v>
      </c>
      <c r="D76" t="str" cm="1">
        <f t="array" ref="D76">INDEX(salesmonthly!$B$1:$I$1, MOD(ROW()-2,8)+1)</f>
        <v>N02BA</v>
      </c>
      <c r="E76" t="str" cm="1">
        <f t="array" ref="E76">INDEX(salesmonthly!$B$2:$I$5000, INT((ROW()-2)/8)+1, MOD(ROW()-2,8)+1)</f>
        <v>191.59999999999997</v>
      </c>
    </row>
    <row r="77" spans="1:5" x14ac:dyDescent="0.35">
      <c r="A77" s="1" cm="1">
        <f t="array" ref="A77">INDEX(salesmonthly!$A$2:$A$5000, INT((ROW()-2)/8)+1)</f>
        <v>41943</v>
      </c>
      <c r="B77" cm="1">
        <f t="array" ref="B77">INDEX(salesmonthly!$J$2:$J$5000, INT((ROW()-2)/8)+1)</f>
        <v>2014</v>
      </c>
      <c r="C77" cm="1">
        <f t="array" ref="C77">INDEX(salesmonthly!$K$2:$K$5000, INT((ROW()-2)/8)+1)</f>
        <v>10</v>
      </c>
      <c r="D77" t="str" cm="1">
        <f t="array" ref="D77">INDEX(salesmonthly!$B$1:$I$1, MOD(ROW()-2,8)+1)</f>
        <v>N02BE</v>
      </c>
      <c r="E77" t="str" cm="1">
        <f t="array" ref="E77">INDEX(salesmonthly!$B$2:$I$5000, INT((ROW()-2)/8)+1, MOD(ROW()-2,8)+1)</f>
        <v>1856.8149999999994</v>
      </c>
    </row>
    <row r="78" spans="1:5" x14ac:dyDescent="0.35">
      <c r="A78" s="1" cm="1">
        <f t="array" ref="A78">INDEX(salesmonthly!$A$2:$A$5000, INT((ROW()-2)/8)+1)</f>
        <v>41943</v>
      </c>
      <c r="B78" cm="1">
        <f t="array" ref="B78">INDEX(salesmonthly!$J$2:$J$5000, INT((ROW()-2)/8)+1)</f>
        <v>2014</v>
      </c>
      <c r="C78" cm="1">
        <f t="array" ref="C78">INDEX(salesmonthly!$K$2:$K$5000, INT((ROW()-2)/8)+1)</f>
        <v>10</v>
      </c>
      <c r="D78" t="str" cm="1">
        <f t="array" ref="D78">INDEX(salesmonthly!$B$1:$I$1, MOD(ROW()-2,8)+1)</f>
        <v>N05B</v>
      </c>
      <c r="E78" cm="1">
        <f t="array" ref="E78">INDEX(salesmonthly!$B$2:$I$5000, INT((ROW()-2)/8)+1, MOD(ROW()-2,8)+1)</f>
        <v>472</v>
      </c>
    </row>
    <row r="79" spans="1:5" x14ac:dyDescent="0.35">
      <c r="A79" s="1" cm="1">
        <f t="array" ref="A79">INDEX(salesmonthly!$A$2:$A$5000, INT((ROW()-2)/8)+1)</f>
        <v>41943</v>
      </c>
      <c r="B79" cm="1">
        <f t="array" ref="B79">INDEX(salesmonthly!$J$2:$J$5000, INT((ROW()-2)/8)+1)</f>
        <v>2014</v>
      </c>
      <c r="C79" cm="1">
        <f t="array" ref="C79">INDEX(salesmonthly!$K$2:$K$5000, INT((ROW()-2)/8)+1)</f>
        <v>10</v>
      </c>
      <c r="D79" t="str" cm="1">
        <f t="array" ref="D79">INDEX(salesmonthly!$B$1:$I$1, MOD(ROW()-2,8)+1)</f>
        <v>N05C</v>
      </c>
      <c r="E79" cm="1">
        <f t="array" ref="E79">INDEX(salesmonthly!$B$2:$I$5000, INT((ROW()-2)/8)+1, MOD(ROW()-2,8)+1)</f>
        <v>30</v>
      </c>
    </row>
    <row r="80" spans="1:5" x14ac:dyDescent="0.35">
      <c r="A80" s="1" cm="1">
        <f t="array" ref="A80">INDEX(salesmonthly!$A$2:$A$5000, INT((ROW()-2)/8)+1)</f>
        <v>41943</v>
      </c>
      <c r="B80" cm="1">
        <f t="array" ref="B80">INDEX(salesmonthly!$J$2:$J$5000, INT((ROW()-2)/8)+1)</f>
        <v>2014</v>
      </c>
      <c r="C80" cm="1">
        <f t="array" ref="C80">INDEX(salesmonthly!$K$2:$K$5000, INT((ROW()-2)/8)+1)</f>
        <v>10</v>
      </c>
      <c r="D80" t="str" cm="1">
        <f t="array" ref="D80">INDEX(salesmonthly!$B$1:$I$1, MOD(ROW()-2,8)+1)</f>
        <v>R03</v>
      </c>
      <c r="E80" cm="1">
        <f t="array" ref="E80">INDEX(salesmonthly!$B$2:$I$5000, INT((ROW()-2)/8)+1, MOD(ROW()-2,8)+1)</f>
        <v>182</v>
      </c>
    </row>
    <row r="81" spans="1:5" x14ac:dyDescent="0.35">
      <c r="A81" s="1" cm="1">
        <f t="array" ref="A81">INDEX(salesmonthly!$A$2:$A$5000, INT((ROW()-2)/8)+1)</f>
        <v>41943</v>
      </c>
      <c r="B81" cm="1">
        <f t="array" ref="B81">INDEX(salesmonthly!$J$2:$J$5000, INT((ROW()-2)/8)+1)</f>
        <v>2014</v>
      </c>
      <c r="C81" cm="1">
        <f t="array" ref="C81">INDEX(salesmonthly!$K$2:$K$5000, INT((ROW()-2)/8)+1)</f>
        <v>10</v>
      </c>
      <c r="D81" t="str" cm="1">
        <f t="array" ref="D81">INDEX(salesmonthly!$B$1:$I$1, MOD(ROW()-2,8)+1)</f>
        <v>R06</v>
      </c>
      <c r="E81" cm="1">
        <f t="array" ref="E81">INDEX(salesmonthly!$B$2:$I$5000, INT((ROW()-2)/8)+1, MOD(ROW()-2,8)+1)</f>
        <v>74.5</v>
      </c>
    </row>
    <row r="82" spans="1:5" x14ac:dyDescent="0.35">
      <c r="A82" s="1" cm="1">
        <f t="array" ref="A82">INDEX(salesmonthly!$A$2:$A$5000, INT((ROW()-2)/8)+1)</f>
        <v>41973</v>
      </c>
      <c r="B82" cm="1">
        <f t="array" ref="B82">INDEX(salesmonthly!$J$2:$J$5000, INT((ROW()-2)/8)+1)</f>
        <v>2014</v>
      </c>
      <c r="C82" cm="1">
        <f t="array" ref="C82">INDEX(salesmonthly!$K$2:$K$5000, INT((ROW()-2)/8)+1)</f>
        <v>11</v>
      </c>
      <c r="D82" t="str" cm="1">
        <f t="array" ref="D82">INDEX(salesmonthly!$B$1:$I$1, MOD(ROW()-2,8)+1)</f>
        <v>M01AB</v>
      </c>
      <c r="E82" t="str" cm="1">
        <f t="array" ref="E82">INDEX(salesmonthly!$B$2:$I$5000, INT((ROW()-2)/8)+1, MOD(ROW()-2,8)+1)</f>
        <v>138.08000000000004</v>
      </c>
    </row>
    <row r="83" spans="1:5" x14ac:dyDescent="0.35">
      <c r="A83" s="1" cm="1">
        <f t="array" ref="A83">INDEX(salesmonthly!$A$2:$A$5000, INT((ROW()-2)/8)+1)</f>
        <v>41973</v>
      </c>
      <c r="B83" cm="1">
        <f t="array" ref="B83">INDEX(salesmonthly!$J$2:$J$5000, INT((ROW()-2)/8)+1)</f>
        <v>2014</v>
      </c>
      <c r="C83" cm="1">
        <f t="array" ref="C83">INDEX(salesmonthly!$K$2:$K$5000, INT((ROW()-2)/8)+1)</f>
        <v>11</v>
      </c>
      <c r="D83" t="str" cm="1">
        <f t="array" ref="D83">INDEX(salesmonthly!$B$1:$I$1, MOD(ROW()-2,8)+1)</f>
        <v>M01AE</v>
      </c>
      <c r="E83" t="str" cm="1">
        <f t="array" ref="E83">INDEX(salesmonthly!$B$2:$I$5000, INT((ROW()-2)/8)+1, MOD(ROW()-2,8)+1)</f>
        <v>100.86000000000004</v>
      </c>
    </row>
    <row r="84" spans="1:5" x14ac:dyDescent="0.35">
      <c r="A84" s="1" cm="1">
        <f t="array" ref="A84">INDEX(salesmonthly!$A$2:$A$5000, INT((ROW()-2)/8)+1)</f>
        <v>41973</v>
      </c>
      <c r="B84" cm="1">
        <f t="array" ref="B84">INDEX(salesmonthly!$J$2:$J$5000, INT((ROW()-2)/8)+1)</f>
        <v>2014</v>
      </c>
      <c r="C84" cm="1">
        <f t="array" ref="C84">INDEX(salesmonthly!$K$2:$K$5000, INT((ROW()-2)/8)+1)</f>
        <v>11</v>
      </c>
      <c r="D84" t="str" cm="1">
        <f t="array" ref="D84">INDEX(salesmonthly!$B$1:$I$1, MOD(ROW()-2,8)+1)</f>
        <v>N02BA</v>
      </c>
      <c r="E84" cm="1">
        <f t="array" ref="E84">INDEX(salesmonthly!$B$2:$I$5000, INT((ROW()-2)/8)+1, MOD(ROW()-2,8)+1)</f>
        <v>142.69999999999999</v>
      </c>
    </row>
    <row r="85" spans="1:5" x14ac:dyDescent="0.35">
      <c r="A85" s="1" cm="1">
        <f t="array" ref="A85">INDEX(salesmonthly!$A$2:$A$5000, INT((ROW()-2)/8)+1)</f>
        <v>41973</v>
      </c>
      <c r="B85" cm="1">
        <f t="array" ref="B85">INDEX(salesmonthly!$J$2:$J$5000, INT((ROW()-2)/8)+1)</f>
        <v>2014</v>
      </c>
      <c r="C85" cm="1">
        <f t="array" ref="C85">INDEX(salesmonthly!$K$2:$K$5000, INT((ROW()-2)/8)+1)</f>
        <v>11</v>
      </c>
      <c r="D85" t="str" cm="1">
        <f t="array" ref="D85">INDEX(salesmonthly!$B$1:$I$1, MOD(ROW()-2,8)+1)</f>
        <v>N02BE</v>
      </c>
      <c r="E85" cm="1">
        <f t="array" ref="E85">INDEX(salesmonthly!$B$2:$I$5000, INT((ROW()-2)/8)+1, MOD(ROW()-2,8)+1)</f>
        <v>723.8</v>
      </c>
    </row>
    <row r="86" spans="1:5" x14ac:dyDescent="0.35">
      <c r="A86" s="1" cm="1">
        <f t="array" ref="A86">INDEX(salesmonthly!$A$2:$A$5000, INT((ROW()-2)/8)+1)</f>
        <v>41973</v>
      </c>
      <c r="B86" cm="1">
        <f t="array" ref="B86">INDEX(salesmonthly!$J$2:$J$5000, INT((ROW()-2)/8)+1)</f>
        <v>2014</v>
      </c>
      <c r="C86" cm="1">
        <f t="array" ref="C86">INDEX(salesmonthly!$K$2:$K$5000, INT((ROW()-2)/8)+1)</f>
        <v>11</v>
      </c>
      <c r="D86" t="str" cm="1">
        <f t="array" ref="D86">INDEX(salesmonthly!$B$1:$I$1, MOD(ROW()-2,8)+1)</f>
        <v>N05B</v>
      </c>
      <c r="E86" cm="1">
        <f t="array" ref="E86">INDEX(salesmonthly!$B$2:$I$5000, INT((ROW()-2)/8)+1, MOD(ROW()-2,8)+1)</f>
        <v>489</v>
      </c>
    </row>
    <row r="87" spans="1:5" x14ac:dyDescent="0.35">
      <c r="A87" s="1" cm="1">
        <f t="array" ref="A87">INDEX(salesmonthly!$A$2:$A$5000, INT((ROW()-2)/8)+1)</f>
        <v>41973</v>
      </c>
      <c r="B87" cm="1">
        <f t="array" ref="B87">INDEX(salesmonthly!$J$2:$J$5000, INT((ROW()-2)/8)+1)</f>
        <v>2014</v>
      </c>
      <c r="C87" cm="1">
        <f t="array" ref="C87">INDEX(salesmonthly!$K$2:$K$5000, INT((ROW()-2)/8)+1)</f>
        <v>11</v>
      </c>
      <c r="D87" t="str" cm="1">
        <f t="array" ref="D87">INDEX(salesmonthly!$B$1:$I$1, MOD(ROW()-2,8)+1)</f>
        <v>N05C</v>
      </c>
      <c r="E87" cm="1">
        <f t="array" ref="E87">INDEX(salesmonthly!$B$2:$I$5000, INT((ROW()-2)/8)+1, MOD(ROW()-2,8)+1)</f>
        <v>19</v>
      </c>
    </row>
    <row r="88" spans="1:5" x14ac:dyDescent="0.35">
      <c r="A88" s="1" cm="1">
        <f t="array" ref="A88">INDEX(salesmonthly!$A$2:$A$5000, INT((ROW()-2)/8)+1)</f>
        <v>41973</v>
      </c>
      <c r="B88" cm="1">
        <f t="array" ref="B88">INDEX(salesmonthly!$J$2:$J$5000, INT((ROW()-2)/8)+1)</f>
        <v>2014</v>
      </c>
      <c r="C88" cm="1">
        <f t="array" ref="C88">INDEX(salesmonthly!$K$2:$K$5000, INT((ROW()-2)/8)+1)</f>
        <v>11</v>
      </c>
      <c r="D88" t="str" cm="1">
        <f t="array" ref="D88">INDEX(salesmonthly!$B$1:$I$1, MOD(ROW()-2,8)+1)</f>
        <v>R03</v>
      </c>
      <c r="E88" cm="1">
        <f t="array" ref="E88">INDEX(salesmonthly!$B$2:$I$5000, INT((ROW()-2)/8)+1, MOD(ROW()-2,8)+1)</f>
        <v>112</v>
      </c>
    </row>
    <row r="89" spans="1:5" x14ac:dyDescent="0.35">
      <c r="A89" s="1" cm="1">
        <f t="array" ref="A89">INDEX(salesmonthly!$A$2:$A$5000, INT((ROW()-2)/8)+1)</f>
        <v>41973</v>
      </c>
      <c r="B89" cm="1">
        <f t="array" ref="B89">INDEX(salesmonthly!$J$2:$J$5000, INT((ROW()-2)/8)+1)</f>
        <v>2014</v>
      </c>
      <c r="C89" cm="1">
        <f t="array" ref="C89">INDEX(salesmonthly!$K$2:$K$5000, INT((ROW()-2)/8)+1)</f>
        <v>11</v>
      </c>
      <c r="D89" t="str" cm="1">
        <f t="array" ref="D89">INDEX(salesmonthly!$B$1:$I$1, MOD(ROW()-2,8)+1)</f>
        <v>R06</v>
      </c>
      <c r="E89" cm="1">
        <f t="array" ref="E89">INDEX(salesmonthly!$B$2:$I$5000, INT((ROW()-2)/8)+1, MOD(ROW()-2,8)+1)</f>
        <v>45.2</v>
      </c>
    </row>
    <row r="90" spans="1:5" x14ac:dyDescent="0.35">
      <c r="A90" s="1" cm="1">
        <f t="array" ref="A90">INDEX(salesmonthly!$A$2:$A$5000, INT((ROW()-2)/8)+1)</f>
        <v>42004</v>
      </c>
      <c r="B90" cm="1">
        <f t="array" ref="B90">INDEX(salesmonthly!$J$2:$J$5000, INT((ROW()-2)/8)+1)</f>
        <v>2014</v>
      </c>
      <c r="C90" cm="1">
        <f t="array" ref="C90">INDEX(salesmonthly!$K$2:$K$5000, INT((ROW()-2)/8)+1)</f>
        <v>12</v>
      </c>
      <c r="D90" t="str" cm="1">
        <f t="array" ref="D90">INDEX(salesmonthly!$B$1:$I$1, MOD(ROW()-2,8)+1)</f>
        <v>M01AB</v>
      </c>
      <c r="E90" t="str" cm="1">
        <f t="array" ref="E90">INDEX(salesmonthly!$B$2:$I$5000, INT((ROW()-2)/8)+1, MOD(ROW()-2,8)+1)</f>
        <v>131.90000000000003</v>
      </c>
    </row>
    <row r="91" spans="1:5" x14ac:dyDescent="0.35">
      <c r="A91" s="1" cm="1">
        <f t="array" ref="A91">INDEX(salesmonthly!$A$2:$A$5000, INT((ROW()-2)/8)+1)</f>
        <v>42004</v>
      </c>
      <c r="B91" cm="1">
        <f t="array" ref="B91">INDEX(salesmonthly!$J$2:$J$5000, INT((ROW()-2)/8)+1)</f>
        <v>2014</v>
      </c>
      <c r="C91" cm="1">
        <f t="array" ref="C91">INDEX(salesmonthly!$K$2:$K$5000, INT((ROW()-2)/8)+1)</f>
        <v>12</v>
      </c>
      <c r="D91" t="str" cm="1">
        <f t="array" ref="D91">INDEX(salesmonthly!$B$1:$I$1, MOD(ROW()-2,8)+1)</f>
        <v>M01AE</v>
      </c>
      <c r="E91" t="str" cm="1">
        <f t="array" ref="E91">INDEX(salesmonthly!$B$2:$I$5000, INT((ROW()-2)/8)+1, MOD(ROW()-2,8)+1)</f>
        <v>121.40100000000004</v>
      </c>
    </row>
    <row r="92" spans="1:5" x14ac:dyDescent="0.35">
      <c r="A92" s="1" cm="1">
        <f t="array" ref="A92">INDEX(salesmonthly!$A$2:$A$5000, INT((ROW()-2)/8)+1)</f>
        <v>42004</v>
      </c>
      <c r="B92" cm="1">
        <f t="array" ref="B92">INDEX(salesmonthly!$J$2:$J$5000, INT((ROW()-2)/8)+1)</f>
        <v>2014</v>
      </c>
      <c r="C92" cm="1">
        <f t="array" ref="C92">INDEX(salesmonthly!$K$2:$K$5000, INT((ROW()-2)/8)+1)</f>
        <v>12</v>
      </c>
      <c r="D92" t="str" cm="1">
        <f t="array" ref="D92">INDEX(salesmonthly!$B$1:$I$1, MOD(ROW()-2,8)+1)</f>
        <v>N02BA</v>
      </c>
      <c r="E92" t="str" cm="1">
        <f t="array" ref="E92">INDEX(salesmonthly!$B$2:$I$5000, INT((ROW()-2)/8)+1, MOD(ROW()-2,8)+1)</f>
        <v>111.12400000000001</v>
      </c>
    </row>
    <row r="93" spans="1:5" x14ac:dyDescent="0.35">
      <c r="A93" s="1" cm="1">
        <f t="array" ref="A93">INDEX(salesmonthly!$A$2:$A$5000, INT((ROW()-2)/8)+1)</f>
        <v>42004</v>
      </c>
      <c r="B93" cm="1">
        <f t="array" ref="B93">INDEX(salesmonthly!$J$2:$J$5000, INT((ROW()-2)/8)+1)</f>
        <v>2014</v>
      </c>
      <c r="C93" cm="1">
        <f t="array" ref="C93">INDEX(salesmonthly!$K$2:$K$5000, INT((ROW()-2)/8)+1)</f>
        <v>12</v>
      </c>
      <c r="D93" t="str" cm="1">
        <f t="array" ref="D93">INDEX(salesmonthly!$B$1:$I$1, MOD(ROW()-2,8)+1)</f>
        <v>N02BE</v>
      </c>
      <c r="E93" t="str" cm="1">
        <f t="array" ref="E93">INDEX(salesmonthly!$B$2:$I$5000, INT((ROW()-2)/8)+1, MOD(ROW()-2,8)+1)</f>
        <v>1015.6600000000001</v>
      </c>
    </row>
    <row r="94" spans="1:5" x14ac:dyDescent="0.35">
      <c r="A94" s="1" cm="1">
        <f t="array" ref="A94">INDEX(salesmonthly!$A$2:$A$5000, INT((ROW()-2)/8)+1)</f>
        <v>42004</v>
      </c>
      <c r="B94" cm="1">
        <f t="array" ref="B94">INDEX(salesmonthly!$J$2:$J$5000, INT((ROW()-2)/8)+1)</f>
        <v>2014</v>
      </c>
      <c r="C94" cm="1">
        <f t="array" ref="C94">INDEX(salesmonthly!$K$2:$K$5000, INT((ROW()-2)/8)+1)</f>
        <v>12</v>
      </c>
      <c r="D94" t="str" cm="1">
        <f t="array" ref="D94">INDEX(salesmonthly!$B$1:$I$1, MOD(ROW()-2,8)+1)</f>
        <v>N05B</v>
      </c>
      <c r="E94" cm="1">
        <f t="array" ref="E94">INDEX(salesmonthly!$B$2:$I$5000, INT((ROW()-2)/8)+1, MOD(ROW()-2,8)+1)</f>
        <v>492</v>
      </c>
    </row>
    <row r="95" spans="1:5" x14ac:dyDescent="0.35">
      <c r="A95" s="1" cm="1">
        <f t="array" ref="A95">INDEX(salesmonthly!$A$2:$A$5000, INT((ROW()-2)/8)+1)</f>
        <v>42004</v>
      </c>
      <c r="B95" cm="1">
        <f t="array" ref="B95">INDEX(salesmonthly!$J$2:$J$5000, INT((ROW()-2)/8)+1)</f>
        <v>2014</v>
      </c>
      <c r="C95" cm="1">
        <f t="array" ref="C95">INDEX(salesmonthly!$K$2:$K$5000, INT((ROW()-2)/8)+1)</f>
        <v>12</v>
      </c>
      <c r="D95" t="str" cm="1">
        <f t="array" ref="D95">INDEX(salesmonthly!$B$1:$I$1, MOD(ROW()-2,8)+1)</f>
        <v>N05C</v>
      </c>
      <c r="E95" cm="1">
        <f t="array" ref="E95">INDEX(salesmonthly!$B$2:$I$5000, INT((ROW()-2)/8)+1, MOD(ROW()-2,8)+1)</f>
        <v>25</v>
      </c>
    </row>
    <row r="96" spans="1:5" x14ac:dyDescent="0.35">
      <c r="A96" s="1" cm="1">
        <f t="array" ref="A96">INDEX(salesmonthly!$A$2:$A$5000, INT((ROW()-2)/8)+1)</f>
        <v>42004</v>
      </c>
      <c r="B96" cm="1">
        <f t="array" ref="B96">INDEX(salesmonthly!$J$2:$J$5000, INT((ROW()-2)/8)+1)</f>
        <v>2014</v>
      </c>
      <c r="C96" cm="1">
        <f t="array" ref="C96">INDEX(salesmonthly!$K$2:$K$5000, INT((ROW()-2)/8)+1)</f>
        <v>12</v>
      </c>
      <c r="D96" t="str" cm="1">
        <f t="array" ref="D96">INDEX(salesmonthly!$B$1:$I$1, MOD(ROW()-2,8)+1)</f>
        <v>R03</v>
      </c>
      <c r="E96" cm="1">
        <f t="array" ref="E96">INDEX(salesmonthly!$B$2:$I$5000, INT((ROW()-2)/8)+1, MOD(ROW()-2,8)+1)</f>
        <v>163</v>
      </c>
    </row>
    <row r="97" spans="1:5" x14ac:dyDescent="0.35">
      <c r="A97" s="1" cm="1">
        <f t="array" ref="A97">INDEX(salesmonthly!$A$2:$A$5000, INT((ROW()-2)/8)+1)</f>
        <v>42004</v>
      </c>
      <c r="B97" cm="1">
        <f t="array" ref="B97">INDEX(salesmonthly!$J$2:$J$5000, INT((ROW()-2)/8)+1)</f>
        <v>2014</v>
      </c>
      <c r="C97" cm="1">
        <f t="array" ref="C97">INDEX(salesmonthly!$K$2:$K$5000, INT((ROW()-2)/8)+1)</f>
        <v>12</v>
      </c>
      <c r="D97" t="str" cm="1">
        <f t="array" ref="D97">INDEX(salesmonthly!$B$1:$I$1, MOD(ROW()-2,8)+1)</f>
        <v>R06</v>
      </c>
      <c r="E97" cm="1">
        <f t="array" ref="E97">INDEX(salesmonthly!$B$2:$I$5000, INT((ROW()-2)/8)+1, MOD(ROW()-2,8)+1)</f>
        <v>33.4</v>
      </c>
    </row>
    <row r="98" spans="1:5" x14ac:dyDescent="0.35">
      <c r="A98" s="1" cm="1">
        <f t="array" ref="A98">INDEX(salesmonthly!$A$2:$A$5000, INT((ROW()-2)/8)+1)</f>
        <v>42035</v>
      </c>
      <c r="B98" cm="1">
        <f t="array" ref="B98">INDEX(salesmonthly!$J$2:$J$5000, INT((ROW()-2)/8)+1)</f>
        <v>2015</v>
      </c>
      <c r="C98" cm="1">
        <f t="array" ref="C98">INDEX(salesmonthly!$K$2:$K$5000, INT((ROW()-2)/8)+1)</f>
        <v>1</v>
      </c>
      <c r="D98" t="str" cm="1">
        <f t="array" ref="D98">INDEX(salesmonthly!$B$1:$I$1, MOD(ROW()-2,8)+1)</f>
        <v>M01AB</v>
      </c>
      <c r="E98" t="str" cm="1">
        <f t="array" ref="E98">INDEX(salesmonthly!$B$2:$I$5000, INT((ROW()-2)/8)+1, MOD(ROW()-2,8)+1)</f>
        <v>135.91000000000003</v>
      </c>
    </row>
    <row r="99" spans="1:5" x14ac:dyDescent="0.35">
      <c r="A99" s="1" cm="1">
        <f t="array" ref="A99">INDEX(salesmonthly!$A$2:$A$5000, INT((ROW()-2)/8)+1)</f>
        <v>42035</v>
      </c>
      <c r="B99" cm="1">
        <f t="array" ref="B99">INDEX(salesmonthly!$J$2:$J$5000, INT((ROW()-2)/8)+1)</f>
        <v>2015</v>
      </c>
      <c r="C99" cm="1">
        <f t="array" ref="C99">INDEX(salesmonthly!$K$2:$K$5000, INT((ROW()-2)/8)+1)</f>
        <v>1</v>
      </c>
      <c r="D99" t="str" cm="1">
        <f t="array" ref="D99">INDEX(salesmonthly!$B$1:$I$1, MOD(ROW()-2,8)+1)</f>
        <v>M01AE</v>
      </c>
      <c r="E99" t="str" cm="1">
        <f t="array" ref="E99">INDEX(salesmonthly!$B$2:$I$5000, INT((ROW()-2)/8)+1, MOD(ROW()-2,8)+1)</f>
        <v>130.34900000000005</v>
      </c>
    </row>
    <row r="100" spans="1:5" x14ac:dyDescent="0.35">
      <c r="A100" s="1" cm="1">
        <f t="array" ref="A100">INDEX(salesmonthly!$A$2:$A$5000, INT((ROW()-2)/8)+1)</f>
        <v>42035</v>
      </c>
      <c r="B100" cm="1">
        <f t="array" ref="B100">INDEX(salesmonthly!$J$2:$J$5000, INT((ROW()-2)/8)+1)</f>
        <v>2015</v>
      </c>
      <c r="C100" cm="1">
        <f t="array" ref="C100">INDEX(salesmonthly!$K$2:$K$5000, INT((ROW()-2)/8)+1)</f>
        <v>1</v>
      </c>
      <c r="D100" t="str" cm="1">
        <f t="array" ref="D100">INDEX(salesmonthly!$B$1:$I$1, MOD(ROW()-2,8)+1)</f>
        <v>N02BA</v>
      </c>
      <c r="E100" cm="1">
        <f t="array" ref="E100">INDEX(salesmonthly!$B$2:$I$5000, INT((ROW()-2)/8)+1, MOD(ROW()-2,8)+1)</f>
        <v>141</v>
      </c>
    </row>
    <row r="101" spans="1:5" x14ac:dyDescent="0.35">
      <c r="A101" s="1" cm="1">
        <f t="array" ref="A101">INDEX(salesmonthly!$A$2:$A$5000, INT((ROW()-2)/8)+1)</f>
        <v>42035</v>
      </c>
      <c r="B101" cm="1">
        <f t="array" ref="B101">INDEX(salesmonthly!$J$2:$J$5000, INT((ROW()-2)/8)+1)</f>
        <v>2015</v>
      </c>
      <c r="C101" cm="1">
        <f t="array" ref="C101">INDEX(salesmonthly!$K$2:$K$5000, INT((ROW()-2)/8)+1)</f>
        <v>1</v>
      </c>
      <c r="D101" t="str" cm="1">
        <f t="array" ref="D101">INDEX(salesmonthly!$B$1:$I$1, MOD(ROW()-2,8)+1)</f>
        <v>N02BE</v>
      </c>
      <c r="E101" t="str" cm="1">
        <f t="array" ref="E101">INDEX(salesmonthly!$B$2:$I$5000, INT((ROW()-2)/8)+1, MOD(ROW()-2,8)+1)</f>
        <v>1044.2400000000002</v>
      </c>
    </row>
    <row r="102" spans="1:5" x14ac:dyDescent="0.35">
      <c r="A102" s="1" cm="1">
        <f t="array" ref="A102">INDEX(salesmonthly!$A$2:$A$5000, INT((ROW()-2)/8)+1)</f>
        <v>42035</v>
      </c>
      <c r="B102" cm="1">
        <f t="array" ref="B102">INDEX(salesmonthly!$J$2:$J$5000, INT((ROW()-2)/8)+1)</f>
        <v>2015</v>
      </c>
      <c r="C102" cm="1">
        <f t="array" ref="C102">INDEX(salesmonthly!$K$2:$K$5000, INT((ROW()-2)/8)+1)</f>
        <v>1</v>
      </c>
      <c r="D102" t="str" cm="1">
        <f t="array" ref="D102">INDEX(salesmonthly!$B$1:$I$1, MOD(ROW()-2,8)+1)</f>
        <v>N05B</v>
      </c>
      <c r="E102" cm="1">
        <f t="array" ref="E102">INDEX(salesmonthly!$B$2:$I$5000, INT((ROW()-2)/8)+1, MOD(ROW()-2,8)+1)</f>
        <v>463</v>
      </c>
    </row>
    <row r="103" spans="1:5" x14ac:dyDescent="0.35">
      <c r="A103" s="1" cm="1">
        <f t="array" ref="A103">INDEX(salesmonthly!$A$2:$A$5000, INT((ROW()-2)/8)+1)</f>
        <v>42035</v>
      </c>
      <c r="B103" cm="1">
        <f t="array" ref="B103">INDEX(salesmonthly!$J$2:$J$5000, INT((ROW()-2)/8)+1)</f>
        <v>2015</v>
      </c>
      <c r="C103" cm="1">
        <f t="array" ref="C103">INDEX(salesmonthly!$K$2:$K$5000, INT((ROW()-2)/8)+1)</f>
        <v>1</v>
      </c>
      <c r="D103" t="str" cm="1">
        <f t="array" ref="D103">INDEX(salesmonthly!$B$1:$I$1, MOD(ROW()-2,8)+1)</f>
        <v>N05C</v>
      </c>
      <c r="E103" cm="1">
        <f t="array" ref="E103">INDEX(salesmonthly!$B$2:$I$5000, INT((ROW()-2)/8)+1, MOD(ROW()-2,8)+1)</f>
        <v>24</v>
      </c>
    </row>
    <row r="104" spans="1:5" x14ac:dyDescent="0.35">
      <c r="A104" s="1" cm="1">
        <f t="array" ref="A104">INDEX(salesmonthly!$A$2:$A$5000, INT((ROW()-2)/8)+1)</f>
        <v>42035</v>
      </c>
      <c r="B104" cm="1">
        <f t="array" ref="B104">INDEX(salesmonthly!$J$2:$J$5000, INT((ROW()-2)/8)+1)</f>
        <v>2015</v>
      </c>
      <c r="C104" cm="1">
        <f t="array" ref="C104">INDEX(salesmonthly!$K$2:$K$5000, INT((ROW()-2)/8)+1)</f>
        <v>1</v>
      </c>
      <c r="D104" t="str" cm="1">
        <f t="array" ref="D104">INDEX(salesmonthly!$B$1:$I$1, MOD(ROW()-2,8)+1)</f>
        <v>R03</v>
      </c>
      <c r="E104" cm="1">
        <f t="array" ref="E104">INDEX(salesmonthly!$B$2:$I$5000, INT((ROW()-2)/8)+1, MOD(ROW()-2,8)+1)</f>
        <v>177.25</v>
      </c>
    </row>
    <row r="105" spans="1:5" x14ac:dyDescent="0.35">
      <c r="A105" s="1" cm="1">
        <f t="array" ref="A105">INDEX(salesmonthly!$A$2:$A$5000, INT((ROW()-2)/8)+1)</f>
        <v>42035</v>
      </c>
      <c r="B105" cm="1">
        <f t="array" ref="B105">INDEX(salesmonthly!$J$2:$J$5000, INT((ROW()-2)/8)+1)</f>
        <v>2015</v>
      </c>
      <c r="C105" cm="1">
        <f t="array" ref="C105">INDEX(salesmonthly!$K$2:$K$5000, INT((ROW()-2)/8)+1)</f>
        <v>1</v>
      </c>
      <c r="D105" t="str" cm="1">
        <f t="array" ref="D105">INDEX(salesmonthly!$B$1:$I$1, MOD(ROW()-2,8)+1)</f>
        <v>R06</v>
      </c>
      <c r="E105" cm="1">
        <f t="array" ref="E105">INDEX(salesmonthly!$B$2:$I$5000, INT((ROW()-2)/8)+1, MOD(ROW()-2,8)+1)</f>
        <v>42</v>
      </c>
    </row>
    <row r="106" spans="1:5" x14ac:dyDescent="0.35">
      <c r="A106" s="1" cm="1">
        <f t="array" ref="A106">INDEX(salesmonthly!$A$2:$A$5000, INT((ROW()-2)/8)+1)</f>
        <v>42063</v>
      </c>
      <c r="B106" cm="1">
        <f t="array" ref="B106">INDEX(salesmonthly!$J$2:$J$5000, INT((ROW()-2)/8)+1)</f>
        <v>2015</v>
      </c>
      <c r="C106" cm="1">
        <f t="array" ref="C106">INDEX(salesmonthly!$K$2:$K$5000, INT((ROW()-2)/8)+1)</f>
        <v>2</v>
      </c>
      <c r="D106" t="str" cm="1">
        <f t="array" ref="D106">INDEX(salesmonthly!$B$1:$I$1, MOD(ROW()-2,8)+1)</f>
        <v>M01AB</v>
      </c>
      <c r="E106" cm="1">
        <f t="array" ref="E106">INDEX(salesmonthly!$B$2:$I$5000, INT((ROW()-2)/8)+1, MOD(ROW()-2,8)+1)</f>
        <v>115.71</v>
      </c>
    </row>
    <row r="107" spans="1:5" x14ac:dyDescent="0.35">
      <c r="A107" s="1" cm="1">
        <f t="array" ref="A107">INDEX(salesmonthly!$A$2:$A$5000, INT((ROW()-2)/8)+1)</f>
        <v>42063</v>
      </c>
      <c r="B107" cm="1">
        <f t="array" ref="B107">INDEX(salesmonthly!$J$2:$J$5000, INT((ROW()-2)/8)+1)</f>
        <v>2015</v>
      </c>
      <c r="C107" cm="1">
        <f t="array" ref="C107">INDEX(salesmonthly!$K$2:$K$5000, INT((ROW()-2)/8)+1)</f>
        <v>2</v>
      </c>
      <c r="D107" t="str" cm="1">
        <f t="array" ref="D107">INDEX(salesmonthly!$B$1:$I$1, MOD(ROW()-2,8)+1)</f>
        <v>M01AE</v>
      </c>
      <c r="E107" t="str" cm="1">
        <f t="array" ref="E107">INDEX(salesmonthly!$B$2:$I$5000, INT((ROW()-2)/8)+1, MOD(ROW()-2,8)+1)</f>
        <v>123.73999999999997</v>
      </c>
    </row>
    <row r="108" spans="1:5" x14ac:dyDescent="0.35">
      <c r="A108" s="1" cm="1">
        <f t="array" ref="A108">INDEX(salesmonthly!$A$2:$A$5000, INT((ROW()-2)/8)+1)</f>
        <v>42063</v>
      </c>
      <c r="B108" cm="1">
        <f t="array" ref="B108">INDEX(salesmonthly!$J$2:$J$5000, INT((ROW()-2)/8)+1)</f>
        <v>2015</v>
      </c>
      <c r="C108" cm="1">
        <f t="array" ref="C108">INDEX(salesmonthly!$K$2:$K$5000, INT((ROW()-2)/8)+1)</f>
        <v>2</v>
      </c>
      <c r="D108" t="str" cm="1">
        <f t="array" ref="D108">INDEX(salesmonthly!$B$1:$I$1, MOD(ROW()-2,8)+1)</f>
        <v>N02BA</v>
      </c>
      <c r="E108" cm="1">
        <f t="array" ref="E108">INDEX(salesmonthly!$B$2:$I$5000, INT((ROW()-2)/8)+1, MOD(ROW()-2,8)+1)</f>
        <v>131.83000000000001</v>
      </c>
    </row>
    <row r="109" spans="1:5" x14ac:dyDescent="0.35">
      <c r="A109" s="1" cm="1">
        <f t="array" ref="A109">INDEX(salesmonthly!$A$2:$A$5000, INT((ROW()-2)/8)+1)</f>
        <v>42063</v>
      </c>
      <c r="B109" cm="1">
        <f t="array" ref="B109">INDEX(salesmonthly!$J$2:$J$5000, INT((ROW()-2)/8)+1)</f>
        <v>2015</v>
      </c>
      <c r="C109" cm="1">
        <f t="array" ref="C109">INDEX(salesmonthly!$K$2:$K$5000, INT((ROW()-2)/8)+1)</f>
        <v>2</v>
      </c>
      <c r="D109" t="str" cm="1">
        <f t="array" ref="D109">INDEX(salesmonthly!$B$1:$I$1, MOD(ROW()-2,8)+1)</f>
        <v>N02BE</v>
      </c>
      <c r="E109" cm="1">
        <f t="array" ref="E109">INDEX(salesmonthly!$B$2:$I$5000, INT((ROW()-2)/8)+1, MOD(ROW()-2,8)+1)</f>
        <v>953.25199999999995</v>
      </c>
    </row>
    <row r="110" spans="1:5" x14ac:dyDescent="0.35">
      <c r="A110" s="1" cm="1">
        <f t="array" ref="A110">INDEX(salesmonthly!$A$2:$A$5000, INT((ROW()-2)/8)+1)</f>
        <v>42063</v>
      </c>
      <c r="B110" cm="1">
        <f t="array" ref="B110">INDEX(salesmonthly!$J$2:$J$5000, INT((ROW()-2)/8)+1)</f>
        <v>2015</v>
      </c>
      <c r="C110" cm="1">
        <f t="array" ref="C110">INDEX(salesmonthly!$K$2:$K$5000, INT((ROW()-2)/8)+1)</f>
        <v>2</v>
      </c>
      <c r="D110" t="str" cm="1">
        <f t="array" ref="D110">INDEX(salesmonthly!$B$1:$I$1, MOD(ROW()-2,8)+1)</f>
        <v>N05B</v>
      </c>
      <c r="E110" cm="1">
        <f t="array" ref="E110">INDEX(salesmonthly!$B$2:$I$5000, INT((ROW()-2)/8)+1, MOD(ROW()-2,8)+1)</f>
        <v>243</v>
      </c>
    </row>
    <row r="111" spans="1:5" x14ac:dyDescent="0.35">
      <c r="A111" s="1" cm="1">
        <f t="array" ref="A111">INDEX(salesmonthly!$A$2:$A$5000, INT((ROW()-2)/8)+1)</f>
        <v>42063</v>
      </c>
      <c r="B111" cm="1">
        <f t="array" ref="B111">INDEX(salesmonthly!$J$2:$J$5000, INT((ROW()-2)/8)+1)</f>
        <v>2015</v>
      </c>
      <c r="C111" cm="1">
        <f t="array" ref="C111">INDEX(salesmonthly!$K$2:$K$5000, INT((ROW()-2)/8)+1)</f>
        <v>2</v>
      </c>
      <c r="D111" t="str" cm="1">
        <f t="array" ref="D111">INDEX(salesmonthly!$B$1:$I$1, MOD(ROW()-2,8)+1)</f>
        <v>N05C</v>
      </c>
      <c r="E111" cm="1">
        <f t="array" ref="E111">INDEX(salesmonthly!$B$2:$I$5000, INT((ROW()-2)/8)+1, MOD(ROW()-2,8)+1)</f>
        <v>9</v>
      </c>
    </row>
    <row r="112" spans="1:5" x14ac:dyDescent="0.35">
      <c r="A112" s="1" cm="1">
        <f t="array" ref="A112">INDEX(salesmonthly!$A$2:$A$5000, INT((ROW()-2)/8)+1)</f>
        <v>42063</v>
      </c>
      <c r="B112" cm="1">
        <f t="array" ref="B112">INDEX(salesmonthly!$J$2:$J$5000, INT((ROW()-2)/8)+1)</f>
        <v>2015</v>
      </c>
      <c r="C112" cm="1">
        <f t="array" ref="C112">INDEX(salesmonthly!$K$2:$K$5000, INT((ROW()-2)/8)+1)</f>
        <v>2</v>
      </c>
      <c r="D112" t="str" cm="1">
        <f t="array" ref="D112">INDEX(salesmonthly!$B$1:$I$1, MOD(ROW()-2,8)+1)</f>
        <v>R03</v>
      </c>
      <c r="E112" cm="1">
        <f t="array" ref="E112">INDEX(salesmonthly!$B$2:$I$5000, INT((ROW()-2)/8)+1, MOD(ROW()-2,8)+1)</f>
        <v>208</v>
      </c>
    </row>
    <row r="113" spans="1:5" x14ac:dyDescent="0.35">
      <c r="A113" s="1" cm="1">
        <f t="array" ref="A113">INDEX(salesmonthly!$A$2:$A$5000, INT((ROW()-2)/8)+1)</f>
        <v>42063</v>
      </c>
      <c r="B113" cm="1">
        <f t="array" ref="B113">INDEX(salesmonthly!$J$2:$J$5000, INT((ROW()-2)/8)+1)</f>
        <v>2015</v>
      </c>
      <c r="C113" cm="1">
        <f t="array" ref="C113">INDEX(salesmonthly!$K$2:$K$5000, INT((ROW()-2)/8)+1)</f>
        <v>2</v>
      </c>
      <c r="D113" t="str" cm="1">
        <f t="array" ref="D113">INDEX(salesmonthly!$B$1:$I$1, MOD(ROW()-2,8)+1)</f>
        <v>R06</v>
      </c>
      <c r="E113" cm="1">
        <f t="array" ref="E113">INDEX(salesmonthly!$B$2:$I$5000, INT((ROW()-2)/8)+1, MOD(ROW()-2,8)+1)</f>
        <v>47</v>
      </c>
    </row>
    <row r="114" spans="1:5" x14ac:dyDescent="0.35">
      <c r="A114" s="1" cm="1">
        <f t="array" ref="A114">INDEX(salesmonthly!$A$2:$A$5000, INT((ROW()-2)/8)+1)</f>
        <v>42094</v>
      </c>
      <c r="B114" cm="1">
        <f t="array" ref="B114">INDEX(salesmonthly!$J$2:$J$5000, INT((ROW()-2)/8)+1)</f>
        <v>2015</v>
      </c>
      <c r="C114" cm="1">
        <f t="array" ref="C114">INDEX(salesmonthly!$K$2:$K$5000, INT((ROW()-2)/8)+1)</f>
        <v>3</v>
      </c>
      <c r="D114" t="str" cm="1">
        <f t="array" ref="D114">INDEX(salesmonthly!$B$1:$I$1, MOD(ROW()-2,8)+1)</f>
        <v>M01AB</v>
      </c>
      <c r="E114" t="str" cm="1">
        <f t="array" ref="E114">INDEX(salesmonthly!$B$2:$I$5000, INT((ROW()-2)/8)+1, MOD(ROW()-2,8)+1)</f>
        <v>156.04000000000005</v>
      </c>
    </row>
    <row r="115" spans="1:5" x14ac:dyDescent="0.35">
      <c r="A115" s="1" cm="1">
        <f t="array" ref="A115">INDEX(salesmonthly!$A$2:$A$5000, INT((ROW()-2)/8)+1)</f>
        <v>42094</v>
      </c>
      <c r="B115" cm="1">
        <f t="array" ref="B115">INDEX(salesmonthly!$J$2:$J$5000, INT((ROW()-2)/8)+1)</f>
        <v>2015</v>
      </c>
      <c r="C115" cm="1">
        <f t="array" ref="C115">INDEX(salesmonthly!$K$2:$K$5000, INT((ROW()-2)/8)+1)</f>
        <v>3</v>
      </c>
      <c r="D115" t="str" cm="1">
        <f t="array" ref="D115">INDEX(salesmonthly!$B$1:$I$1, MOD(ROW()-2,8)+1)</f>
        <v>M01AE</v>
      </c>
      <c r="E115" t="str" cm="1">
        <f t="array" ref="E115">INDEX(salesmonthly!$B$2:$I$5000, INT((ROW()-2)/8)+1, MOD(ROW()-2,8)+1)</f>
        <v>129.38599999999997</v>
      </c>
    </row>
    <row r="116" spans="1:5" x14ac:dyDescent="0.35">
      <c r="A116" s="1" cm="1">
        <f t="array" ref="A116">INDEX(salesmonthly!$A$2:$A$5000, INT((ROW()-2)/8)+1)</f>
        <v>42094</v>
      </c>
      <c r="B116" cm="1">
        <f t="array" ref="B116">INDEX(salesmonthly!$J$2:$J$5000, INT((ROW()-2)/8)+1)</f>
        <v>2015</v>
      </c>
      <c r="C116" cm="1">
        <f t="array" ref="C116">INDEX(salesmonthly!$K$2:$K$5000, INT((ROW()-2)/8)+1)</f>
        <v>3</v>
      </c>
      <c r="D116" t="str" cm="1">
        <f t="array" ref="D116">INDEX(salesmonthly!$B$1:$I$1, MOD(ROW()-2,8)+1)</f>
        <v>N02BA</v>
      </c>
      <c r="E116" cm="1">
        <f t="array" ref="E116">INDEX(salesmonthly!$B$2:$I$5000, INT((ROW()-2)/8)+1, MOD(ROW()-2,8)+1)</f>
        <v>133.80000000000001</v>
      </c>
    </row>
    <row r="117" spans="1:5" x14ac:dyDescent="0.35">
      <c r="A117" s="1" cm="1">
        <f t="array" ref="A117">INDEX(salesmonthly!$A$2:$A$5000, INT((ROW()-2)/8)+1)</f>
        <v>42094</v>
      </c>
      <c r="B117" cm="1">
        <f t="array" ref="B117">INDEX(salesmonthly!$J$2:$J$5000, INT((ROW()-2)/8)+1)</f>
        <v>2015</v>
      </c>
      <c r="C117" cm="1">
        <f t="array" ref="C117">INDEX(salesmonthly!$K$2:$K$5000, INT((ROW()-2)/8)+1)</f>
        <v>3</v>
      </c>
      <c r="D117" t="str" cm="1">
        <f t="array" ref="D117">INDEX(salesmonthly!$B$1:$I$1, MOD(ROW()-2,8)+1)</f>
        <v>N02BE</v>
      </c>
      <c r="E117" t="str" cm="1">
        <f t="array" ref="E117">INDEX(salesmonthly!$B$2:$I$5000, INT((ROW()-2)/8)+1, MOD(ROW()-2,8)+1)</f>
        <v>1084.8500000000001</v>
      </c>
    </row>
    <row r="118" spans="1:5" x14ac:dyDescent="0.35">
      <c r="A118" s="1" cm="1">
        <f t="array" ref="A118">INDEX(salesmonthly!$A$2:$A$5000, INT((ROW()-2)/8)+1)</f>
        <v>42094</v>
      </c>
      <c r="B118" cm="1">
        <f t="array" ref="B118">INDEX(salesmonthly!$J$2:$J$5000, INT((ROW()-2)/8)+1)</f>
        <v>2015</v>
      </c>
      <c r="C118" cm="1">
        <f t="array" ref="C118">INDEX(salesmonthly!$K$2:$K$5000, INT((ROW()-2)/8)+1)</f>
        <v>3</v>
      </c>
      <c r="D118" t="str" cm="1">
        <f t="array" ref="D118">INDEX(salesmonthly!$B$1:$I$1, MOD(ROW()-2,8)+1)</f>
        <v>N05B</v>
      </c>
      <c r="E118" cm="1">
        <f t="array" ref="E118">INDEX(salesmonthly!$B$2:$I$5000, INT((ROW()-2)/8)+1, MOD(ROW()-2,8)+1)</f>
        <v>208</v>
      </c>
    </row>
    <row r="119" spans="1:5" x14ac:dyDescent="0.35">
      <c r="A119" s="1" cm="1">
        <f t="array" ref="A119">INDEX(salesmonthly!$A$2:$A$5000, INT((ROW()-2)/8)+1)</f>
        <v>42094</v>
      </c>
      <c r="B119" cm="1">
        <f t="array" ref="B119">INDEX(salesmonthly!$J$2:$J$5000, INT((ROW()-2)/8)+1)</f>
        <v>2015</v>
      </c>
      <c r="C119" cm="1">
        <f t="array" ref="C119">INDEX(salesmonthly!$K$2:$K$5000, INT((ROW()-2)/8)+1)</f>
        <v>3</v>
      </c>
      <c r="D119" t="str" cm="1">
        <f t="array" ref="D119">INDEX(salesmonthly!$B$1:$I$1, MOD(ROW()-2,8)+1)</f>
        <v>N05C</v>
      </c>
      <c r="E119" cm="1">
        <f t="array" ref="E119">INDEX(salesmonthly!$B$2:$I$5000, INT((ROW()-2)/8)+1, MOD(ROW()-2,8)+1)</f>
        <v>13</v>
      </c>
    </row>
    <row r="120" spans="1:5" x14ac:dyDescent="0.35">
      <c r="A120" s="1" cm="1">
        <f t="array" ref="A120">INDEX(salesmonthly!$A$2:$A$5000, INT((ROW()-2)/8)+1)</f>
        <v>42094</v>
      </c>
      <c r="B120" cm="1">
        <f t="array" ref="B120">INDEX(salesmonthly!$J$2:$J$5000, INT((ROW()-2)/8)+1)</f>
        <v>2015</v>
      </c>
      <c r="C120" cm="1">
        <f t="array" ref="C120">INDEX(salesmonthly!$K$2:$K$5000, INT((ROW()-2)/8)+1)</f>
        <v>3</v>
      </c>
      <c r="D120" t="str" cm="1">
        <f t="array" ref="D120">INDEX(salesmonthly!$B$1:$I$1, MOD(ROW()-2,8)+1)</f>
        <v>R03</v>
      </c>
      <c r="E120" cm="1">
        <f t="array" ref="E120">INDEX(salesmonthly!$B$2:$I$5000, INT((ROW()-2)/8)+1, MOD(ROW()-2,8)+1)</f>
        <v>195</v>
      </c>
    </row>
    <row r="121" spans="1:5" x14ac:dyDescent="0.35">
      <c r="A121" s="1" cm="1">
        <f t="array" ref="A121">INDEX(salesmonthly!$A$2:$A$5000, INT((ROW()-2)/8)+1)</f>
        <v>42094</v>
      </c>
      <c r="B121" cm="1">
        <f t="array" ref="B121">INDEX(salesmonthly!$J$2:$J$5000, INT((ROW()-2)/8)+1)</f>
        <v>2015</v>
      </c>
      <c r="C121" cm="1">
        <f t="array" ref="C121">INDEX(salesmonthly!$K$2:$K$5000, INT((ROW()-2)/8)+1)</f>
        <v>3</v>
      </c>
      <c r="D121" t="str" cm="1">
        <f t="array" ref="D121">INDEX(salesmonthly!$B$1:$I$1, MOD(ROW()-2,8)+1)</f>
        <v>R06</v>
      </c>
      <c r="E121" cm="1">
        <f t="array" ref="E121">INDEX(salesmonthly!$B$2:$I$5000, INT((ROW()-2)/8)+1, MOD(ROW()-2,8)+1)</f>
        <v>54</v>
      </c>
    </row>
    <row r="122" spans="1:5" x14ac:dyDescent="0.35">
      <c r="A122" s="1" cm="1">
        <f t="array" ref="A122">INDEX(salesmonthly!$A$2:$A$5000, INT((ROW()-2)/8)+1)</f>
        <v>42124</v>
      </c>
      <c r="B122" cm="1">
        <f t="array" ref="B122">INDEX(salesmonthly!$J$2:$J$5000, INT((ROW()-2)/8)+1)</f>
        <v>2015</v>
      </c>
      <c r="C122" cm="1">
        <f t="array" ref="C122">INDEX(salesmonthly!$K$2:$K$5000, INT((ROW()-2)/8)+1)</f>
        <v>4</v>
      </c>
      <c r="D122" t="str" cm="1">
        <f t="array" ref="D122">INDEX(salesmonthly!$B$1:$I$1, MOD(ROW()-2,8)+1)</f>
        <v>M01AB</v>
      </c>
      <c r="E122" cm="1">
        <f t="array" ref="E122">INDEX(salesmonthly!$B$2:$I$5000, INT((ROW()-2)/8)+1, MOD(ROW()-2,8)+1)</f>
        <v>154.5</v>
      </c>
    </row>
    <row r="123" spans="1:5" x14ac:dyDescent="0.35">
      <c r="A123" s="1" cm="1">
        <f t="array" ref="A123">INDEX(salesmonthly!$A$2:$A$5000, INT((ROW()-2)/8)+1)</f>
        <v>42124</v>
      </c>
      <c r="B123" cm="1">
        <f t="array" ref="B123">INDEX(salesmonthly!$J$2:$J$5000, INT((ROW()-2)/8)+1)</f>
        <v>2015</v>
      </c>
      <c r="C123" cm="1">
        <f t="array" ref="C123">INDEX(salesmonthly!$K$2:$K$5000, INT((ROW()-2)/8)+1)</f>
        <v>4</v>
      </c>
      <c r="D123" t="str" cm="1">
        <f t="array" ref="D123">INDEX(salesmonthly!$B$1:$I$1, MOD(ROW()-2,8)+1)</f>
        <v>M01AE</v>
      </c>
      <c r="E123" cm="1">
        <f t="array" ref="E123">INDEX(salesmonthly!$B$2:$I$5000, INT((ROW()-2)/8)+1, MOD(ROW()-2,8)+1)</f>
        <v>101.11499999999999</v>
      </c>
    </row>
    <row r="124" spans="1:5" x14ac:dyDescent="0.35">
      <c r="A124" s="1" cm="1">
        <f t="array" ref="A124">INDEX(salesmonthly!$A$2:$A$5000, INT((ROW()-2)/8)+1)</f>
        <v>42124</v>
      </c>
      <c r="B124" cm="1">
        <f t="array" ref="B124">INDEX(salesmonthly!$J$2:$J$5000, INT((ROW()-2)/8)+1)</f>
        <v>2015</v>
      </c>
      <c r="C124" cm="1">
        <f t="array" ref="C124">INDEX(salesmonthly!$K$2:$K$5000, INT((ROW()-2)/8)+1)</f>
        <v>4</v>
      </c>
      <c r="D124" t="str" cm="1">
        <f t="array" ref="D124">INDEX(salesmonthly!$B$1:$I$1, MOD(ROW()-2,8)+1)</f>
        <v>N02BA</v>
      </c>
      <c r="E124" t="str" cm="1">
        <f t="array" ref="E124">INDEX(salesmonthly!$B$2:$I$5000, INT((ROW()-2)/8)+1, MOD(ROW()-2,8)+1)</f>
        <v>122.10000000000001</v>
      </c>
    </row>
    <row r="125" spans="1:5" x14ac:dyDescent="0.35">
      <c r="A125" s="1" cm="1">
        <f t="array" ref="A125">INDEX(salesmonthly!$A$2:$A$5000, INT((ROW()-2)/8)+1)</f>
        <v>42124</v>
      </c>
      <c r="B125" cm="1">
        <f t="array" ref="B125">INDEX(salesmonthly!$J$2:$J$5000, INT((ROW()-2)/8)+1)</f>
        <v>2015</v>
      </c>
      <c r="C125" cm="1">
        <f t="array" ref="C125">INDEX(salesmonthly!$K$2:$K$5000, INT((ROW()-2)/8)+1)</f>
        <v>4</v>
      </c>
      <c r="D125" t="str" cm="1">
        <f t="array" ref="D125">INDEX(salesmonthly!$B$1:$I$1, MOD(ROW()-2,8)+1)</f>
        <v>N02BE</v>
      </c>
      <c r="E125" t="str" cm="1">
        <f t="array" ref="E125">INDEX(salesmonthly!$B$2:$I$5000, INT((ROW()-2)/8)+1, MOD(ROW()-2,8)+1)</f>
        <v>940.1700000000001</v>
      </c>
    </row>
    <row r="126" spans="1:5" x14ac:dyDescent="0.35">
      <c r="A126" s="1" cm="1">
        <f t="array" ref="A126">INDEX(salesmonthly!$A$2:$A$5000, INT((ROW()-2)/8)+1)</f>
        <v>42124</v>
      </c>
      <c r="B126" cm="1">
        <f t="array" ref="B126">INDEX(salesmonthly!$J$2:$J$5000, INT((ROW()-2)/8)+1)</f>
        <v>2015</v>
      </c>
      <c r="C126" cm="1">
        <f t="array" ref="C126">INDEX(salesmonthly!$K$2:$K$5000, INT((ROW()-2)/8)+1)</f>
        <v>4</v>
      </c>
      <c r="D126" t="str" cm="1">
        <f t="array" ref="D126">INDEX(salesmonthly!$B$1:$I$1, MOD(ROW()-2,8)+1)</f>
        <v>N05B</v>
      </c>
      <c r="E126" cm="1">
        <f t="array" ref="E126">INDEX(salesmonthly!$B$2:$I$5000, INT((ROW()-2)/8)+1, MOD(ROW()-2,8)+1)</f>
        <v>192</v>
      </c>
    </row>
    <row r="127" spans="1:5" x14ac:dyDescent="0.35">
      <c r="A127" s="1" cm="1">
        <f t="array" ref="A127">INDEX(salesmonthly!$A$2:$A$5000, INT((ROW()-2)/8)+1)</f>
        <v>42124</v>
      </c>
      <c r="B127" cm="1">
        <f t="array" ref="B127">INDEX(salesmonthly!$J$2:$J$5000, INT((ROW()-2)/8)+1)</f>
        <v>2015</v>
      </c>
      <c r="C127" cm="1">
        <f t="array" ref="C127">INDEX(salesmonthly!$K$2:$K$5000, INT((ROW()-2)/8)+1)</f>
        <v>4</v>
      </c>
      <c r="D127" t="str" cm="1">
        <f t="array" ref="D127">INDEX(salesmonthly!$B$1:$I$1, MOD(ROW()-2,8)+1)</f>
        <v>N05C</v>
      </c>
      <c r="E127" cm="1">
        <f t="array" ref="E127">INDEX(salesmonthly!$B$2:$I$5000, INT((ROW()-2)/8)+1, MOD(ROW()-2,8)+1)</f>
        <v>5</v>
      </c>
    </row>
    <row r="128" spans="1:5" x14ac:dyDescent="0.35">
      <c r="A128" s="1" cm="1">
        <f t="array" ref="A128">INDEX(salesmonthly!$A$2:$A$5000, INT((ROW()-2)/8)+1)</f>
        <v>42124</v>
      </c>
      <c r="B128" cm="1">
        <f t="array" ref="B128">INDEX(salesmonthly!$J$2:$J$5000, INT((ROW()-2)/8)+1)</f>
        <v>2015</v>
      </c>
      <c r="C128" cm="1">
        <f t="array" ref="C128">INDEX(salesmonthly!$K$2:$K$5000, INT((ROW()-2)/8)+1)</f>
        <v>4</v>
      </c>
      <c r="D128" t="str" cm="1">
        <f t="array" ref="D128">INDEX(salesmonthly!$B$1:$I$1, MOD(ROW()-2,8)+1)</f>
        <v>R03</v>
      </c>
      <c r="E128" cm="1">
        <f t="array" ref="E128">INDEX(salesmonthly!$B$2:$I$5000, INT((ROW()-2)/8)+1, MOD(ROW()-2,8)+1)</f>
        <v>97</v>
      </c>
    </row>
    <row r="129" spans="1:5" x14ac:dyDescent="0.35">
      <c r="A129" s="1" cm="1">
        <f t="array" ref="A129">INDEX(salesmonthly!$A$2:$A$5000, INT((ROW()-2)/8)+1)</f>
        <v>42124</v>
      </c>
      <c r="B129" cm="1">
        <f t="array" ref="B129">INDEX(salesmonthly!$J$2:$J$5000, INT((ROW()-2)/8)+1)</f>
        <v>2015</v>
      </c>
      <c r="C129" cm="1">
        <f t="array" ref="C129">INDEX(salesmonthly!$K$2:$K$5000, INT((ROW()-2)/8)+1)</f>
        <v>4</v>
      </c>
      <c r="D129" t="str" cm="1">
        <f t="array" ref="D129">INDEX(salesmonthly!$B$1:$I$1, MOD(ROW()-2,8)+1)</f>
        <v>R06</v>
      </c>
      <c r="E129" cm="1">
        <f t="array" ref="E129">INDEX(salesmonthly!$B$2:$I$5000, INT((ROW()-2)/8)+1, MOD(ROW()-2,8)+1)</f>
        <v>112</v>
      </c>
    </row>
    <row r="130" spans="1:5" x14ac:dyDescent="0.35">
      <c r="A130" s="1" cm="1">
        <f t="array" ref="A130">INDEX(salesmonthly!$A$2:$A$5000, INT((ROW()-2)/8)+1)</f>
        <v>42155</v>
      </c>
      <c r="B130" cm="1">
        <f t="array" ref="B130">INDEX(salesmonthly!$J$2:$J$5000, INT((ROW()-2)/8)+1)</f>
        <v>2015</v>
      </c>
      <c r="C130" cm="1">
        <f t="array" ref="C130">INDEX(salesmonthly!$K$2:$K$5000, INT((ROW()-2)/8)+1)</f>
        <v>5</v>
      </c>
      <c r="D130" t="str" cm="1">
        <f t="array" ref="D130">INDEX(salesmonthly!$B$1:$I$1, MOD(ROW()-2,8)+1)</f>
        <v>M01AB</v>
      </c>
      <c r="E130" cm="1">
        <f t="array" ref="E130">INDEX(salesmonthly!$B$2:$I$5000, INT((ROW()-2)/8)+1, MOD(ROW()-2,8)+1)</f>
        <v>160.02000000000001</v>
      </c>
    </row>
    <row r="131" spans="1:5" x14ac:dyDescent="0.35">
      <c r="A131" s="1" cm="1">
        <f t="array" ref="A131">INDEX(salesmonthly!$A$2:$A$5000, INT((ROW()-2)/8)+1)</f>
        <v>42155</v>
      </c>
      <c r="B131" cm="1">
        <f t="array" ref="B131">INDEX(salesmonthly!$J$2:$J$5000, INT((ROW()-2)/8)+1)</f>
        <v>2015</v>
      </c>
      <c r="C131" cm="1">
        <f t="array" ref="C131">INDEX(salesmonthly!$K$2:$K$5000, INT((ROW()-2)/8)+1)</f>
        <v>5</v>
      </c>
      <c r="D131" t="str" cm="1">
        <f t="array" ref="D131">INDEX(salesmonthly!$B$1:$I$1, MOD(ROW()-2,8)+1)</f>
        <v>M01AE</v>
      </c>
      <c r="E131" t="str" cm="1">
        <f t="array" ref="E131">INDEX(salesmonthly!$B$2:$I$5000, INT((ROW()-2)/8)+1, MOD(ROW()-2,8)+1)</f>
        <v>119.11700000000006</v>
      </c>
    </row>
    <row r="132" spans="1:5" x14ac:dyDescent="0.35">
      <c r="A132" s="1" cm="1">
        <f t="array" ref="A132">INDEX(salesmonthly!$A$2:$A$5000, INT((ROW()-2)/8)+1)</f>
        <v>42155</v>
      </c>
      <c r="B132" cm="1">
        <f t="array" ref="B132">INDEX(salesmonthly!$J$2:$J$5000, INT((ROW()-2)/8)+1)</f>
        <v>2015</v>
      </c>
      <c r="C132" cm="1">
        <f t="array" ref="C132">INDEX(salesmonthly!$K$2:$K$5000, INT((ROW()-2)/8)+1)</f>
        <v>5</v>
      </c>
      <c r="D132" t="str" cm="1">
        <f t="array" ref="D132">INDEX(salesmonthly!$B$1:$I$1, MOD(ROW()-2,8)+1)</f>
        <v>N02BA</v>
      </c>
      <c r="E132" cm="1">
        <f t="array" ref="E132">INDEX(salesmonthly!$B$2:$I$5000, INT((ROW()-2)/8)+1, MOD(ROW()-2,8)+1)</f>
        <v>136.04</v>
      </c>
    </row>
    <row r="133" spans="1:5" x14ac:dyDescent="0.35">
      <c r="A133" s="1" cm="1">
        <f t="array" ref="A133">INDEX(salesmonthly!$A$2:$A$5000, INT((ROW()-2)/8)+1)</f>
        <v>42155</v>
      </c>
      <c r="B133" cm="1">
        <f t="array" ref="B133">INDEX(salesmonthly!$J$2:$J$5000, INT((ROW()-2)/8)+1)</f>
        <v>2015</v>
      </c>
      <c r="C133" cm="1">
        <f t="array" ref="C133">INDEX(salesmonthly!$K$2:$K$5000, INT((ROW()-2)/8)+1)</f>
        <v>5</v>
      </c>
      <c r="D133" t="str" cm="1">
        <f t="array" ref="D133">INDEX(salesmonthly!$B$1:$I$1, MOD(ROW()-2,8)+1)</f>
        <v>N02BE</v>
      </c>
      <c r="E133" t="str" cm="1">
        <f t="array" ref="E133">INDEX(salesmonthly!$B$2:$I$5000, INT((ROW()-2)/8)+1, MOD(ROW()-2,8)+1)</f>
        <v>765.9000000000001</v>
      </c>
    </row>
    <row r="134" spans="1:5" x14ac:dyDescent="0.35">
      <c r="A134" s="1" cm="1">
        <f t="array" ref="A134">INDEX(salesmonthly!$A$2:$A$5000, INT((ROW()-2)/8)+1)</f>
        <v>42155</v>
      </c>
      <c r="B134" cm="1">
        <f t="array" ref="B134">INDEX(salesmonthly!$J$2:$J$5000, INT((ROW()-2)/8)+1)</f>
        <v>2015</v>
      </c>
      <c r="C134" cm="1">
        <f t="array" ref="C134">INDEX(salesmonthly!$K$2:$K$5000, INT((ROW()-2)/8)+1)</f>
        <v>5</v>
      </c>
      <c r="D134" t="str" cm="1">
        <f t="array" ref="D134">INDEX(salesmonthly!$B$1:$I$1, MOD(ROW()-2,8)+1)</f>
        <v>N05B</v>
      </c>
      <c r="E134" cm="1">
        <f t="array" ref="E134">INDEX(salesmonthly!$B$2:$I$5000, INT((ROW()-2)/8)+1, MOD(ROW()-2,8)+1)</f>
        <v>194</v>
      </c>
    </row>
    <row r="135" spans="1:5" x14ac:dyDescent="0.35">
      <c r="A135" s="1" cm="1">
        <f t="array" ref="A135">INDEX(salesmonthly!$A$2:$A$5000, INT((ROW()-2)/8)+1)</f>
        <v>42155</v>
      </c>
      <c r="B135" cm="1">
        <f t="array" ref="B135">INDEX(salesmonthly!$J$2:$J$5000, INT((ROW()-2)/8)+1)</f>
        <v>2015</v>
      </c>
      <c r="C135" cm="1">
        <f t="array" ref="C135">INDEX(salesmonthly!$K$2:$K$5000, INT((ROW()-2)/8)+1)</f>
        <v>5</v>
      </c>
      <c r="D135" t="str" cm="1">
        <f t="array" ref="D135">INDEX(salesmonthly!$B$1:$I$1, MOD(ROW()-2,8)+1)</f>
        <v>N05C</v>
      </c>
      <c r="E135" cm="1">
        <f t="array" ref="E135">INDEX(salesmonthly!$B$2:$I$5000, INT((ROW()-2)/8)+1, MOD(ROW()-2,8)+1)</f>
        <v>10</v>
      </c>
    </row>
    <row r="136" spans="1:5" x14ac:dyDescent="0.35">
      <c r="A136" s="1" cm="1">
        <f t="array" ref="A136">INDEX(salesmonthly!$A$2:$A$5000, INT((ROW()-2)/8)+1)</f>
        <v>42155</v>
      </c>
      <c r="B136" cm="1">
        <f t="array" ref="B136">INDEX(salesmonthly!$J$2:$J$5000, INT((ROW()-2)/8)+1)</f>
        <v>2015</v>
      </c>
      <c r="C136" cm="1">
        <f t="array" ref="C136">INDEX(salesmonthly!$K$2:$K$5000, INT((ROW()-2)/8)+1)</f>
        <v>5</v>
      </c>
      <c r="D136" t="str" cm="1">
        <f t="array" ref="D136">INDEX(salesmonthly!$B$1:$I$1, MOD(ROW()-2,8)+1)</f>
        <v>R03</v>
      </c>
      <c r="E136" cm="1">
        <f t="array" ref="E136">INDEX(salesmonthly!$B$2:$I$5000, INT((ROW()-2)/8)+1, MOD(ROW()-2,8)+1)</f>
        <v>100</v>
      </c>
    </row>
    <row r="137" spans="1:5" x14ac:dyDescent="0.35">
      <c r="A137" s="1" cm="1">
        <f t="array" ref="A137">INDEX(salesmonthly!$A$2:$A$5000, INT((ROW()-2)/8)+1)</f>
        <v>42155</v>
      </c>
      <c r="B137" cm="1">
        <f t="array" ref="B137">INDEX(salesmonthly!$J$2:$J$5000, INT((ROW()-2)/8)+1)</f>
        <v>2015</v>
      </c>
      <c r="C137" cm="1">
        <f t="array" ref="C137">INDEX(salesmonthly!$K$2:$K$5000, INT((ROW()-2)/8)+1)</f>
        <v>5</v>
      </c>
      <c r="D137" t="str" cm="1">
        <f t="array" ref="D137">INDEX(salesmonthly!$B$1:$I$1, MOD(ROW()-2,8)+1)</f>
        <v>R06</v>
      </c>
      <c r="E137" cm="1">
        <f t="array" ref="E137">INDEX(salesmonthly!$B$2:$I$5000, INT((ROW()-2)/8)+1, MOD(ROW()-2,8)+1)</f>
        <v>159.5</v>
      </c>
    </row>
    <row r="138" spans="1:5" x14ac:dyDescent="0.35">
      <c r="A138" s="1" cm="1">
        <f t="array" ref="A138">INDEX(salesmonthly!$A$2:$A$5000, INT((ROW()-2)/8)+1)</f>
        <v>42185</v>
      </c>
      <c r="B138" cm="1">
        <f t="array" ref="B138">INDEX(salesmonthly!$J$2:$J$5000, INT((ROW()-2)/8)+1)</f>
        <v>2015</v>
      </c>
      <c r="C138" cm="1">
        <f t="array" ref="C138">INDEX(salesmonthly!$K$2:$K$5000, INT((ROW()-2)/8)+1)</f>
        <v>6</v>
      </c>
      <c r="D138" t="str" cm="1">
        <f t="array" ref="D138">INDEX(salesmonthly!$B$1:$I$1, MOD(ROW()-2,8)+1)</f>
        <v>M01AB</v>
      </c>
      <c r="E138" t="str" cm="1">
        <f t="array" ref="E138">INDEX(salesmonthly!$B$2:$I$5000, INT((ROW()-2)/8)+1, MOD(ROW()-2,8)+1)</f>
        <v>151.87000000000003</v>
      </c>
    </row>
    <row r="139" spans="1:5" x14ac:dyDescent="0.35">
      <c r="A139" s="1" cm="1">
        <f t="array" ref="A139">INDEX(salesmonthly!$A$2:$A$5000, INT((ROW()-2)/8)+1)</f>
        <v>42185</v>
      </c>
      <c r="B139" cm="1">
        <f t="array" ref="B139">INDEX(salesmonthly!$J$2:$J$5000, INT((ROW()-2)/8)+1)</f>
        <v>2015</v>
      </c>
      <c r="C139" cm="1">
        <f t="array" ref="C139">INDEX(salesmonthly!$K$2:$K$5000, INT((ROW()-2)/8)+1)</f>
        <v>6</v>
      </c>
      <c r="D139" t="str" cm="1">
        <f t="array" ref="D139">INDEX(salesmonthly!$B$1:$I$1, MOD(ROW()-2,8)+1)</f>
        <v>M01AE</v>
      </c>
      <c r="E139" cm="1">
        <f t="array" ref="E139">INDEX(salesmonthly!$B$2:$I$5000, INT((ROW()-2)/8)+1, MOD(ROW()-2,8)+1)</f>
        <v>113.69</v>
      </c>
    </row>
    <row r="140" spans="1:5" x14ac:dyDescent="0.35">
      <c r="A140" s="1" cm="1">
        <f t="array" ref="A140">INDEX(salesmonthly!$A$2:$A$5000, INT((ROW()-2)/8)+1)</f>
        <v>42185</v>
      </c>
      <c r="B140" cm="1">
        <f t="array" ref="B140">INDEX(salesmonthly!$J$2:$J$5000, INT((ROW()-2)/8)+1)</f>
        <v>2015</v>
      </c>
      <c r="C140" cm="1">
        <f t="array" ref="C140">INDEX(salesmonthly!$K$2:$K$5000, INT((ROW()-2)/8)+1)</f>
        <v>6</v>
      </c>
      <c r="D140" t="str" cm="1">
        <f t="array" ref="D140">INDEX(salesmonthly!$B$1:$I$1, MOD(ROW()-2,8)+1)</f>
        <v>N02BA</v>
      </c>
      <c r="E140" cm="1">
        <f t="array" ref="E140">INDEX(salesmonthly!$B$2:$I$5000, INT((ROW()-2)/8)+1, MOD(ROW()-2,8)+1)</f>
        <v>145.46</v>
      </c>
    </row>
    <row r="141" spans="1:5" x14ac:dyDescent="0.35">
      <c r="A141" s="1" cm="1">
        <f t="array" ref="A141">INDEX(salesmonthly!$A$2:$A$5000, INT((ROW()-2)/8)+1)</f>
        <v>42185</v>
      </c>
      <c r="B141" cm="1">
        <f t="array" ref="B141">INDEX(salesmonthly!$J$2:$J$5000, INT((ROW()-2)/8)+1)</f>
        <v>2015</v>
      </c>
      <c r="C141" cm="1">
        <f t="array" ref="C141">INDEX(salesmonthly!$K$2:$K$5000, INT((ROW()-2)/8)+1)</f>
        <v>6</v>
      </c>
      <c r="D141" t="str" cm="1">
        <f t="array" ref="D141">INDEX(salesmonthly!$B$1:$I$1, MOD(ROW()-2,8)+1)</f>
        <v>N02BE</v>
      </c>
      <c r="E141" cm="1">
        <f t="array" ref="E141">INDEX(salesmonthly!$B$2:$I$5000, INT((ROW()-2)/8)+1, MOD(ROW()-2,8)+1)</f>
        <v>746.78800000000001</v>
      </c>
    </row>
    <row r="142" spans="1:5" x14ac:dyDescent="0.35">
      <c r="A142" s="1" cm="1">
        <f t="array" ref="A142">INDEX(salesmonthly!$A$2:$A$5000, INT((ROW()-2)/8)+1)</f>
        <v>42185</v>
      </c>
      <c r="B142" cm="1">
        <f t="array" ref="B142">INDEX(salesmonthly!$J$2:$J$5000, INT((ROW()-2)/8)+1)</f>
        <v>2015</v>
      </c>
      <c r="C142" cm="1">
        <f t="array" ref="C142">INDEX(salesmonthly!$K$2:$K$5000, INT((ROW()-2)/8)+1)</f>
        <v>6</v>
      </c>
      <c r="D142" t="str" cm="1">
        <f t="array" ref="D142">INDEX(salesmonthly!$B$1:$I$1, MOD(ROW()-2,8)+1)</f>
        <v>N05B</v>
      </c>
      <c r="E142" cm="1">
        <f t="array" ref="E142">INDEX(salesmonthly!$B$2:$I$5000, INT((ROW()-2)/8)+1, MOD(ROW()-2,8)+1)</f>
        <v>217</v>
      </c>
    </row>
    <row r="143" spans="1:5" x14ac:dyDescent="0.35">
      <c r="A143" s="1" cm="1">
        <f t="array" ref="A143">INDEX(salesmonthly!$A$2:$A$5000, INT((ROW()-2)/8)+1)</f>
        <v>42185</v>
      </c>
      <c r="B143" cm="1">
        <f t="array" ref="B143">INDEX(salesmonthly!$J$2:$J$5000, INT((ROW()-2)/8)+1)</f>
        <v>2015</v>
      </c>
      <c r="C143" cm="1">
        <f t="array" ref="C143">INDEX(salesmonthly!$K$2:$K$5000, INT((ROW()-2)/8)+1)</f>
        <v>6</v>
      </c>
      <c r="D143" t="str" cm="1">
        <f t="array" ref="D143">INDEX(salesmonthly!$B$1:$I$1, MOD(ROW()-2,8)+1)</f>
        <v>N05C</v>
      </c>
      <c r="E143" cm="1">
        <f t="array" ref="E143">INDEX(salesmonthly!$B$2:$I$5000, INT((ROW()-2)/8)+1, MOD(ROW()-2,8)+1)</f>
        <v>12</v>
      </c>
    </row>
    <row r="144" spans="1:5" x14ac:dyDescent="0.35">
      <c r="A144" s="1" cm="1">
        <f t="array" ref="A144">INDEX(salesmonthly!$A$2:$A$5000, INT((ROW()-2)/8)+1)</f>
        <v>42185</v>
      </c>
      <c r="B144" cm="1">
        <f t="array" ref="B144">INDEX(salesmonthly!$J$2:$J$5000, INT((ROW()-2)/8)+1)</f>
        <v>2015</v>
      </c>
      <c r="C144" cm="1">
        <f t="array" ref="C144">INDEX(salesmonthly!$K$2:$K$5000, INT((ROW()-2)/8)+1)</f>
        <v>6</v>
      </c>
      <c r="D144" t="str" cm="1">
        <f t="array" ref="D144">INDEX(salesmonthly!$B$1:$I$1, MOD(ROW()-2,8)+1)</f>
        <v>R03</v>
      </c>
      <c r="E144" cm="1">
        <f t="array" ref="E144">INDEX(salesmonthly!$B$2:$I$5000, INT((ROW()-2)/8)+1, MOD(ROW()-2,8)+1)</f>
        <v>193</v>
      </c>
    </row>
    <row r="145" spans="1:5" x14ac:dyDescent="0.35">
      <c r="A145" s="1" cm="1">
        <f t="array" ref="A145">INDEX(salesmonthly!$A$2:$A$5000, INT((ROW()-2)/8)+1)</f>
        <v>42185</v>
      </c>
      <c r="B145" cm="1">
        <f t="array" ref="B145">INDEX(salesmonthly!$J$2:$J$5000, INT((ROW()-2)/8)+1)</f>
        <v>2015</v>
      </c>
      <c r="C145" cm="1">
        <f t="array" ref="C145">INDEX(salesmonthly!$K$2:$K$5000, INT((ROW()-2)/8)+1)</f>
        <v>6</v>
      </c>
      <c r="D145" t="str" cm="1">
        <f t="array" ref="D145">INDEX(salesmonthly!$B$1:$I$1, MOD(ROW()-2,8)+1)</f>
        <v>R06</v>
      </c>
      <c r="E145" t="str" cm="1">
        <f t="array" ref="E145">INDEX(salesmonthly!$B$2:$I$5000, INT((ROW()-2)/8)+1, MOD(ROW()-2,8)+1)</f>
        <v>125.79999999999998</v>
      </c>
    </row>
    <row r="146" spans="1:5" x14ac:dyDescent="0.35">
      <c r="A146" s="1" cm="1">
        <f t="array" ref="A146">INDEX(salesmonthly!$A$2:$A$5000, INT((ROW()-2)/8)+1)</f>
        <v>42216</v>
      </c>
      <c r="B146" cm="1">
        <f t="array" ref="B146">INDEX(salesmonthly!$J$2:$J$5000, INT((ROW()-2)/8)+1)</f>
        <v>2015</v>
      </c>
      <c r="C146" cm="1">
        <f t="array" ref="C146">INDEX(salesmonthly!$K$2:$K$5000, INT((ROW()-2)/8)+1)</f>
        <v>7</v>
      </c>
      <c r="D146" t="str" cm="1">
        <f t="array" ref="D146">INDEX(salesmonthly!$B$1:$I$1, MOD(ROW()-2,8)+1)</f>
        <v>M01AB</v>
      </c>
      <c r="E146" t="str" cm="1">
        <f t="array" ref="E146">INDEX(salesmonthly!$B$2:$I$5000, INT((ROW()-2)/8)+1, MOD(ROW()-2,8)+1)</f>
        <v>175.61000000000004</v>
      </c>
    </row>
    <row r="147" spans="1:5" x14ac:dyDescent="0.35">
      <c r="A147" s="1" cm="1">
        <f t="array" ref="A147">INDEX(salesmonthly!$A$2:$A$5000, INT((ROW()-2)/8)+1)</f>
        <v>42216</v>
      </c>
      <c r="B147" cm="1">
        <f t="array" ref="B147">INDEX(salesmonthly!$J$2:$J$5000, INT((ROW()-2)/8)+1)</f>
        <v>2015</v>
      </c>
      <c r="C147" cm="1">
        <f t="array" ref="C147">INDEX(salesmonthly!$K$2:$K$5000, INT((ROW()-2)/8)+1)</f>
        <v>7</v>
      </c>
      <c r="D147" t="str" cm="1">
        <f t="array" ref="D147">INDEX(salesmonthly!$B$1:$I$1, MOD(ROW()-2,8)+1)</f>
        <v>M01AE</v>
      </c>
      <c r="E147" t="str" cm="1">
        <f t="array" ref="E147">INDEX(salesmonthly!$B$2:$I$5000, INT((ROW()-2)/8)+1, MOD(ROW()-2,8)+1)</f>
        <v>113.81000000000002</v>
      </c>
    </row>
    <row r="148" spans="1:5" x14ac:dyDescent="0.35">
      <c r="A148" s="1" cm="1">
        <f t="array" ref="A148">INDEX(salesmonthly!$A$2:$A$5000, INT((ROW()-2)/8)+1)</f>
        <v>42216</v>
      </c>
      <c r="B148" cm="1">
        <f t="array" ref="B148">INDEX(salesmonthly!$J$2:$J$5000, INT((ROW()-2)/8)+1)</f>
        <v>2015</v>
      </c>
      <c r="C148" cm="1">
        <f t="array" ref="C148">INDEX(salesmonthly!$K$2:$K$5000, INT((ROW()-2)/8)+1)</f>
        <v>7</v>
      </c>
      <c r="D148" t="str" cm="1">
        <f t="array" ref="D148">INDEX(salesmonthly!$B$1:$I$1, MOD(ROW()-2,8)+1)</f>
        <v>N02BA</v>
      </c>
      <c r="E148" cm="1">
        <f t="array" ref="E148">INDEX(salesmonthly!$B$2:$I$5000, INT((ROW()-2)/8)+1, MOD(ROW()-2,8)+1)</f>
        <v>125.5</v>
      </c>
    </row>
    <row r="149" spans="1:5" x14ac:dyDescent="0.35">
      <c r="A149" s="1" cm="1">
        <f t="array" ref="A149">INDEX(salesmonthly!$A$2:$A$5000, INT((ROW()-2)/8)+1)</f>
        <v>42216</v>
      </c>
      <c r="B149" cm="1">
        <f t="array" ref="B149">INDEX(salesmonthly!$J$2:$J$5000, INT((ROW()-2)/8)+1)</f>
        <v>2015</v>
      </c>
      <c r="C149" cm="1">
        <f t="array" ref="C149">INDEX(salesmonthly!$K$2:$K$5000, INT((ROW()-2)/8)+1)</f>
        <v>7</v>
      </c>
      <c r="D149" t="str" cm="1">
        <f t="array" ref="D149">INDEX(salesmonthly!$B$1:$I$1, MOD(ROW()-2,8)+1)</f>
        <v>N02BE</v>
      </c>
      <c r="E149" t="str" cm="1">
        <f t="array" ref="E149">INDEX(salesmonthly!$B$2:$I$5000, INT((ROW()-2)/8)+1, MOD(ROW()-2,8)+1)</f>
        <v>708.8280000000001</v>
      </c>
    </row>
    <row r="150" spans="1:5" x14ac:dyDescent="0.35">
      <c r="A150" s="1" cm="1">
        <f t="array" ref="A150">INDEX(salesmonthly!$A$2:$A$5000, INT((ROW()-2)/8)+1)</f>
        <v>42216</v>
      </c>
      <c r="B150" cm="1">
        <f t="array" ref="B150">INDEX(salesmonthly!$J$2:$J$5000, INT((ROW()-2)/8)+1)</f>
        <v>2015</v>
      </c>
      <c r="C150" cm="1">
        <f t="array" ref="C150">INDEX(salesmonthly!$K$2:$K$5000, INT((ROW()-2)/8)+1)</f>
        <v>7</v>
      </c>
      <c r="D150" t="str" cm="1">
        <f t="array" ref="D150">INDEX(salesmonthly!$B$1:$I$1, MOD(ROW()-2,8)+1)</f>
        <v>N05B</v>
      </c>
      <c r="E150" cm="1">
        <f t="array" ref="E150">INDEX(salesmonthly!$B$2:$I$5000, INT((ROW()-2)/8)+1, MOD(ROW()-2,8)+1)</f>
        <v>203</v>
      </c>
    </row>
    <row r="151" spans="1:5" x14ac:dyDescent="0.35">
      <c r="A151" s="1" cm="1">
        <f t="array" ref="A151">INDEX(salesmonthly!$A$2:$A$5000, INT((ROW()-2)/8)+1)</f>
        <v>42216</v>
      </c>
      <c r="B151" cm="1">
        <f t="array" ref="B151">INDEX(salesmonthly!$J$2:$J$5000, INT((ROW()-2)/8)+1)</f>
        <v>2015</v>
      </c>
      <c r="C151" cm="1">
        <f t="array" ref="C151">INDEX(salesmonthly!$K$2:$K$5000, INT((ROW()-2)/8)+1)</f>
        <v>7</v>
      </c>
      <c r="D151" t="str" cm="1">
        <f t="array" ref="D151">INDEX(salesmonthly!$B$1:$I$1, MOD(ROW()-2,8)+1)</f>
        <v>N05C</v>
      </c>
      <c r="E151" cm="1">
        <f t="array" ref="E151">INDEX(salesmonthly!$B$2:$I$5000, INT((ROW()-2)/8)+1, MOD(ROW()-2,8)+1)</f>
        <v>6</v>
      </c>
    </row>
    <row r="152" spans="1:5" x14ac:dyDescent="0.35">
      <c r="A152" s="1" cm="1">
        <f t="array" ref="A152">INDEX(salesmonthly!$A$2:$A$5000, INT((ROW()-2)/8)+1)</f>
        <v>42216</v>
      </c>
      <c r="B152" cm="1">
        <f t="array" ref="B152">INDEX(salesmonthly!$J$2:$J$5000, INT((ROW()-2)/8)+1)</f>
        <v>2015</v>
      </c>
      <c r="C152" cm="1">
        <f t="array" ref="C152">INDEX(salesmonthly!$K$2:$K$5000, INT((ROW()-2)/8)+1)</f>
        <v>7</v>
      </c>
      <c r="D152" t="str" cm="1">
        <f t="array" ref="D152">INDEX(salesmonthly!$B$1:$I$1, MOD(ROW()-2,8)+1)</f>
        <v>R03</v>
      </c>
      <c r="E152" cm="1">
        <f t="array" ref="E152">INDEX(salesmonthly!$B$2:$I$5000, INT((ROW()-2)/8)+1, MOD(ROW()-2,8)+1)</f>
        <v>60</v>
      </c>
    </row>
    <row r="153" spans="1:5" x14ac:dyDescent="0.35">
      <c r="A153" s="1" cm="1">
        <f t="array" ref="A153">INDEX(salesmonthly!$A$2:$A$5000, INT((ROW()-2)/8)+1)</f>
        <v>42216</v>
      </c>
      <c r="B153" cm="1">
        <f t="array" ref="B153">INDEX(salesmonthly!$J$2:$J$5000, INT((ROW()-2)/8)+1)</f>
        <v>2015</v>
      </c>
      <c r="C153" cm="1">
        <f t="array" ref="C153">INDEX(salesmonthly!$K$2:$K$5000, INT((ROW()-2)/8)+1)</f>
        <v>7</v>
      </c>
      <c r="D153" t="str" cm="1">
        <f t="array" ref="D153">INDEX(salesmonthly!$B$1:$I$1, MOD(ROW()-2,8)+1)</f>
        <v>R06</v>
      </c>
      <c r="E153" cm="1">
        <f t="array" ref="E153">INDEX(salesmonthly!$B$2:$I$5000, INT((ROW()-2)/8)+1, MOD(ROW()-2,8)+1)</f>
        <v>130.30000000000001</v>
      </c>
    </row>
    <row r="154" spans="1:5" x14ac:dyDescent="0.35">
      <c r="A154" s="1" cm="1">
        <f t="array" ref="A154">INDEX(salesmonthly!$A$2:$A$5000, INT((ROW()-2)/8)+1)</f>
        <v>42247</v>
      </c>
      <c r="B154" cm="1">
        <f t="array" ref="B154">INDEX(salesmonthly!$J$2:$J$5000, INT((ROW()-2)/8)+1)</f>
        <v>2015</v>
      </c>
      <c r="C154" cm="1">
        <f t="array" ref="C154">INDEX(salesmonthly!$K$2:$K$5000, INT((ROW()-2)/8)+1)</f>
        <v>8</v>
      </c>
      <c r="D154" t="str" cm="1">
        <f t="array" ref="D154">INDEX(salesmonthly!$B$1:$I$1, MOD(ROW()-2,8)+1)</f>
        <v>M01AB</v>
      </c>
      <c r="E154" t="str" cm="1">
        <f t="array" ref="E154">INDEX(salesmonthly!$B$2:$I$5000, INT((ROW()-2)/8)+1, MOD(ROW()-2,8)+1)</f>
        <v>181.69000000000003</v>
      </c>
    </row>
    <row r="155" spans="1:5" x14ac:dyDescent="0.35">
      <c r="A155" s="1" cm="1">
        <f t="array" ref="A155">INDEX(salesmonthly!$A$2:$A$5000, INT((ROW()-2)/8)+1)</f>
        <v>42247</v>
      </c>
      <c r="B155" cm="1">
        <f t="array" ref="B155">INDEX(salesmonthly!$J$2:$J$5000, INT((ROW()-2)/8)+1)</f>
        <v>2015</v>
      </c>
      <c r="C155" cm="1">
        <f t="array" ref="C155">INDEX(salesmonthly!$K$2:$K$5000, INT((ROW()-2)/8)+1)</f>
        <v>8</v>
      </c>
      <c r="D155" t="str" cm="1">
        <f t="array" ref="D155">INDEX(salesmonthly!$B$1:$I$1, MOD(ROW()-2,8)+1)</f>
        <v>M01AE</v>
      </c>
      <c r="E155" t="str" cm="1">
        <f t="array" ref="E155">INDEX(salesmonthly!$B$2:$I$5000, INT((ROW()-2)/8)+1, MOD(ROW()-2,8)+1)</f>
        <v>144.51900000000003</v>
      </c>
    </row>
    <row r="156" spans="1:5" x14ac:dyDescent="0.35">
      <c r="A156" s="1" cm="1">
        <f t="array" ref="A156">INDEX(salesmonthly!$A$2:$A$5000, INT((ROW()-2)/8)+1)</f>
        <v>42247</v>
      </c>
      <c r="B156" cm="1">
        <f t="array" ref="B156">INDEX(salesmonthly!$J$2:$J$5000, INT((ROW()-2)/8)+1)</f>
        <v>2015</v>
      </c>
      <c r="C156" cm="1">
        <f t="array" ref="C156">INDEX(salesmonthly!$K$2:$K$5000, INT((ROW()-2)/8)+1)</f>
        <v>8</v>
      </c>
      <c r="D156" t="str" cm="1">
        <f t="array" ref="D156">INDEX(salesmonthly!$B$1:$I$1, MOD(ROW()-2,8)+1)</f>
        <v>N02BA</v>
      </c>
      <c r="E156" cm="1">
        <f t="array" ref="E156">INDEX(salesmonthly!$B$2:$I$5000, INT((ROW()-2)/8)+1, MOD(ROW()-2,8)+1)</f>
        <v>133.4</v>
      </c>
    </row>
    <row r="157" spans="1:5" x14ac:dyDescent="0.35">
      <c r="A157" s="1" cm="1">
        <f t="array" ref="A157">INDEX(salesmonthly!$A$2:$A$5000, INT((ROW()-2)/8)+1)</f>
        <v>42247</v>
      </c>
      <c r="B157" cm="1">
        <f t="array" ref="B157">INDEX(salesmonthly!$J$2:$J$5000, INT((ROW()-2)/8)+1)</f>
        <v>2015</v>
      </c>
      <c r="C157" cm="1">
        <f t="array" ref="C157">INDEX(salesmonthly!$K$2:$K$5000, INT((ROW()-2)/8)+1)</f>
        <v>8</v>
      </c>
      <c r="D157" t="str" cm="1">
        <f t="array" ref="D157">INDEX(salesmonthly!$B$1:$I$1, MOD(ROW()-2,8)+1)</f>
        <v>N02BE</v>
      </c>
      <c r="E157" cm="1">
        <f t="array" ref="E157">INDEX(salesmonthly!$B$2:$I$5000, INT((ROW()-2)/8)+1, MOD(ROW()-2,8)+1)</f>
        <v>790.78800000000001</v>
      </c>
    </row>
    <row r="158" spans="1:5" x14ac:dyDescent="0.35">
      <c r="A158" s="1" cm="1">
        <f t="array" ref="A158">INDEX(salesmonthly!$A$2:$A$5000, INT((ROW()-2)/8)+1)</f>
        <v>42247</v>
      </c>
      <c r="B158" cm="1">
        <f t="array" ref="B158">INDEX(salesmonthly!$J$2:$J$5000, INT((ROW()-2)/8)+1)</f>
        <v>2015</v>
      </c>
      <c r="C158" cm="1">
        <f t="array" ref="C158">INDEX(salesmonthly!$K$2:$K$5000, INT((ROW()-2)/8)+1)</f>
        <v>8</v>
      </c>
      <c r="D158" t="str" cm="1">
        <f t="array" ref="D158">INDEX(salesmonthly!$B$1:$I$1, MOD(ROW()-2,8)+1)</f>
        <v>N05B</v>
      </c>
      <c r="E158" cm="1">
        <f t="array" ref="E158">INDEX(salesmonthly!$B$2:$I$5000, INT((ROW()-2)/8)+1, MOD(ROW()-2,8)+1)</f>
        <v>265.5</v>
      </c>
    </row>
    <row r="159" spans="1:5" x14ac:dyDescent="0.35">
      <c r="A159" s="1" cm="1">
        <f t="array" ref="A159">INDEX(salesmonthly!$A$2:$A$5000, INT((ROW()-2)/8)+1)</f>
        <v>42247</v>
      </c>
      <c r="B159" cm="1">
        <f t="array" ref="B159">INDEX(salesmonthly!$J$2:$J$5000, INT((ROW()-2)/8)+1)</f>
        <v>2015</v>
      </c>
      <c r="C159" cm="1">
        <f t="array" ref="C159">INDEX(salesmonthly!$K$2:$K$5000, INT((ROW()-2)/8)+1)</f>
        <v>8</v>
      </c>
      <c r="D159" t="str" cm="1">
        <f t="array" ref="D159">INDEX(salesmonthly!$B$1:$I$1, MOD(ROW()-2,8)+1)</f>
        <v>N05C</v>
      </c>
      <c r="E159" cm="1">
        <f t="array" ref="E159">INDEX(salesmonthly!$B$2:$I$5000, INT((ROW()-2)/8)+1, MOD(ROW()-2,8)+1)</f>
        <v>15</v>
      </c>
    </row>
    <row r="160" spans="1:5" x14ac:dyDescent="0.35">
      <c r="A160" s="1" cm="1">
        <f t="array" ref="A160">INDEX(salesmonthly!$A$2:$A$5000, INT((ROW()-2)/8)+1)</f>
        <v>42247</v>
      </c>
      <c r="B160" cm="1">
        <f t="array" ref="B160">INDEX(salesmonthly!$J$2:$J$5000, INT((ROW()-2)/8)+1)</f>
        <v>2015</v>
      </c>
      <c r="C160" cm="1">
        <f t="array" ref="C160">INDEX(salesmonthly!$K$2:$K$5000, INT((ROW()-2)/8)+1)</f>
        <v>8</v>
      </c>
      <c r="D160" t="str" cm="1">
        <f t="array" ref="D160">INDEX(salesmonthly!$B$1:$I$1, MOD(ROW()-2,8)+1)</f>
        <v>R03</v>
      </c>
      <c r="E160" cm="1">
        <f t="array" ref="E160">INDEX(salesmonthly!$B$2:$I$5000, INT((ROW()-2)/8)+1, MOD(ROW()-2,8)+1)</f>
        <v>45</v>
      </c>
    </row>
    <row r="161" spans="1:5" x14ac:dyDescent="0.35">
      <c r="A161" s="1" cm="1">
        <f t="array" ref="A161">INDEX(salesmonthly!$A$2:$A$5000, INT((ROW()-2)/8)+1)</f>
        <v>42247</v>
      </c>
      <c r="B161" cm="1">
        <f t="array" ref="B161">INDEX(salesmonthly!$J$2:$J$5000, INT((ROW()-2)/8)+1)</f>
        <v>2015</v>
      </c>
      <c r="C161" cm="1">
        <f t="array" ref="C161">INDEX(salesmonthly!$K$2:$K$5000, INT((ROW()-2)/8)+1)</f>
        <v>8</v>
      </c>
      <c r="D161" t="str" cm="1">
        <f t="array" ref="D161">INDEX(salesmonthly!$B$1:$I$1, MOD(ROW()-2,8)+1)</f>
        <v>R06</v>
      </c>
      <c r="E161" cm="1">
        <f t="array" ref="E161">INDEX(salesmonthly!$B$2:$I$5000, INT((ROW()-2)/8)+1, MOD(ROW()-2,8)+1)</f>
        <v>83.7</v>
      </c>
    </row>
    <row r="162" spans="1:5" x14ac:dyDescent="0.35">
      <c r="A162" s="1" cm="1">
        <f t="array" ref="A162">INDEX(salesmonthly!$A$2:$A$5000, INT((ROW()-2)/8)+1)</f>
        <v>42277</v>
      </c>
      <c r="B162" cm="1">
        <f t="array" ref="B162">INDEX(salesmonthly!$J$2:$J$5000, INT((ROW()-2)/8)+1)</f>
        <v>2015</v>
      </c>
      <c r="C162" cm="1">
        <f t="array" ref="C162">INDEX(salesmonthly!$K$2:$K$5000, INT((ROW()-2)/8)+1)</f>
        <v>9</v>
      </c>
      <c r="D162" t="str" cm="1">
        <f t="array" ref="D162">INDEX(salesmonthly!$B$1:$I$1, MOD(ROW()-2,8)+1)</f>
        <v>M01AB</v>
      </c>
      <c r="E162" t="str" cm="1">
        <f t="array" ref="E162">INDEX(salesmonthly!$B$2:$I$5000, INT((ROW()-2)/8)+1, MOD(ROW()-2,8)+1)</f>
        <v>166.22000000000008</v>
      </c>
    </row>
    <row r="163" spans="1:5" x14ac:dyDescent="0.35">
      <c r="A163" s="1" cm="1">
        <f t="array" ref="A163">INDEX(salesmonthly!$A$2:$A$5000, INT((ROW()-2)/8)+1)</f>
        <v>42277</v>
      </c>
      <c r="B163" cm="1">
        <f t="array" ref="B163">INDEX(salesmonthly!$J$2:$J$5000, INT((ROW()-2)/8)+1)</f>
        <v>2015</v>
      </c>
      <c r="C163" cm="1">
        <f t="array" ref="C163">INDEX(salesmonthly!$K$2:$K$5000, INT((ROW()-2)/8)+1)</f>
        <v>9</v>
      </c>
      <c r="D163" t="str" cm="1">
        <f t="array" ref="D163">INDEX(salesmonthly!$B$1:$I$1, MOD(ROW()-2,8)+1)</f>
        <v>M01AE</v>
      </c>
      <c r="E163" t="str" cm="1">
        <f t="array" ref="E163">INDEX(salesmonthly!$B$2:$I$5000, INT((ROW()-2)/8)+1, MOD(ROW()-2,8)+1)</f>
        <v>134.12200000000004</v>
      </c>
    </row>
    <row r="164" spans="1:5" x14ac:dyDescent="0.35">
      <c r="A164" s="1" cm="1">
        <f t="array" ref="A164">INDEX(salesmonthly!$A$2:$A$5000, INT((ROW()-2)/8)+1)</f>
        <v>42277</v>
      </c>
      <c r="B164" cm="1">
        <f t="array" ref="B164">INDEX(salesmonthly!$J$2:$J$5000, INT((ROW()-2)/8)+1)</f>
        <v>2015</v>
      </c>
      <c r="C164" cm="1">
        <f t="array" ref="C164">INDEX(salesmonthly!$K$2:$K$5000, INT((ROW()-2)/8)+1)</f>
        <v>9</v>
      </c>
      <c r="D164" t="str" cm="1">
        <f t="array" ref="D164">INDEX(salesmonthly!$B$1:$I$1, MOD(ROW()-2,8)+1)</f>
        <v>N02BA</v>
      </c>
      <c r="E164" cm="1">
        <f t="array" ref="E164">INDEX(salesmonthly!$B$2:$I$5000, INT((ROW()-2)/8)+1, MOD(ROW()-2,8)+1)</f>
        <v>110.4</v>
      </c>
    </row>
    <row r="165" spans="1:5" x14ac:dyDescent="0.35">
      <c r="A165" s="1" cm="1">
        <f t="array" ref="A165">INDEX(salesmonthly!$A$2:$A$5000, INT((ROW()-2)/8)+1)</f>
        <v>42277</v>
      </c>
      <c r="B165" cm="1">
        <f t="array" ref="B165">INDEX(salesmonthly!$J$2:$J$5000, INT((ROW()-2)/8)+1)</f>
        <v>2015</v>
      </c>
      <c r="C165" cm="1">
        <f t="array" ref="C165">INDEX(salesmonthly!$K$2:$K$5000, INT((ROW()-2)/8)+1)</f>
        <v>9</v>
      </c>
      <c r="D165" t="str" cm="1">
        <f t="array" ref="D165">INDEX(salesmonthly!$B$1:$I$1, MOD(ROW()-2,8)+1)</f>
        <v>N02BE</v>
      </c>
      <c r="E165" cm="1">
        <f t="array" ref="E165">INDEX(salesmonthly!$B$2:$I$5000, INT((ROW()-2)/8)+1, MOD(ROW()-2,8)+1)</f>
        <v>852.125</v>
      </c>
    </row>
    <row r="166" spans="1:5" x14ac:dyDescent="0.35">
      <c r="A166" s="1" cm="1">
        <f t="array" ref="A166">INDEX(salesmonthly!$A$2:$A$5000, INT((ROW()-2)/8)+1)</f>
        <v>42277</v>
      </c>
      <c r="B166" cm="1">
        <f t="array" ref="B166">INDEX(salesmonthly!$J$2:$J$5000, INT((ROW()-2)/8)+1)</f>
        <v>2015</v>
      </c>
      <c r="C166" cm="1">
        <f t="array" ref="C166">INDEX(salesmonthly!$K$2:$K$5000, INT((ROW()-2)/8)+1)</f>
        <v>9</v>
      </c>
      <c r="D166" t="str" cm="1">
        <f t="array" ref="D166">INDEX(salesmonthly!$B$1:$I$1, MOD(ROW()-2,8)+1)</f>
        <v>N05B</v>
      </c>
      <c r="E166" cm="1">
        <f t="array" ref="E166">INDEX(salesmonthly!$B$2:$I$5000, INT((ROW()-2)/8)+1, MOD(ROW()-2,8)+1)</f>
        <v>243.5</v>
      </c>
    </row>
    <row r="167" spans="1:5" x14ac:dyDescent="0.35">
      <c r="A167" s="1" cm="1">
        <f t="array" ref="A167">INDEX(salesmonthly!$A$2:$A$5000, INT((ROW()-2)/8)+1)</f>
        <v>42277</v>
      </c>
      <c r="B167" cm="1">
        <f t="array" ref="B167">INDEX(salesmonthly!$J$2:$J$5000, INT((ROW()-2)/8)+1)</f>
        <v>2015</v>
      </c>
      <c r="C167" cm="1">
        <f t="array" ref="C167">INDEX(salesmonthly!$K$2:$K$5000, INT((ROW()-2)/8)+1)</f>
        <v>9</v>
      </c>
      <c r="D167" t="str" cm="1">
        <f t="array" ref="D167">INDEX(salesmonthly!$B$1:$I$1, MOD(ROW()-2,8)+1)</f>
        <v>N05C</v>
      </c>
      <c r="E167" cm="1">
        <f t="array" ref="E167">INDEX(salesmonthly!$B$2:$I$5000, INT((ROW()-2)/8)+1, MOD(ROW()-2,8)+1)</f>
        <v>11</v>
      </c>
    </row>
    <row r="168" spans="1:5" x14ac:dyDescent="0.35">
      <c r="A168" s="1" cm="1">
        <f t="array" ref="A168">INDEX(salesmonthly!$A$2:$A$5000, INT((ROW()-2)/8)+1)</f>
        <v>42277</v>
      </c>
      <c r="B168" cm="1">
        <f t="array" ref="B168">INDEX(salesmonthly!$J$2:$J$5000, INT((ROW()-2)/8)+1)</f>
        <v>2015</v>
      </c>
      <c r="C168" cm="1">
        <f t="array" ref="C168">INDEX(salesmonthly!$K$2:$K$5000, INT((ROW()-2)/8)+1)</f>
        <v>9</v>
      </c>
      <c r="D168" t="str" cm="1">
        <f t="array" ref="D168">INDEX(salesmonthly!$B$1:$I$1, MOD(ROW()-2,8)+1)</f>
        <v>R03</v>
      </c>
      <c r="E168" cm="1">
        <f t="array" ref="E168">INDEX(salesmonthly!$B$2:$I$5000, INT((ROW()-2)/8)+1, MOD(ROW()-2,8)+1)</f>
        <v>91</v>
      </c>
    </row>
    <row r="169" spans="1:5" x14ac:dyDescent="0.35">
      <c r="A169" s="1" cm="1">
        <f t="array" ref="A169">INDEX(salesmonthly!$A$2:$A$5000, INT((ROW()-2)/8)+1)</f>
        <v>42277</v>
      </c>
      <c r="B169" cm="1">
        <f t="array" ref="B169">INDEX(salesmonthly!$J$2:$J$5000, INT((ROW()-2)/8)+1)</f>
        <v>2015</v>
      </c>
      <c r="C169" cm="1">
        <f t="array" ref="C169">INDEX(salesmonthly!$K$2:$K$5000, INT((ROW()-2)/8)+1)</f>
        <v>9</v>
      </c>
      <c r="D169" t="str" cm="1">
        <f t="array" ref="D169">INDEX(salesmonthly!$B$1:$I$1, MOD(ROW()-2,8)+1)</f>
        <v>R06</v>
      </c>
      <c r="E169" cm="1">
        <f t="array" ref="E169">INDEX(salesmonthly!$B$2:$I$5000, INT((ROW()-2)/8)+1, MOD(ROW()-2,8)+1)</f>
        <v>71</v>
      </c>
    </row>
    <row r="170" spans="1:5" x14ac:dyDescent="0.35">
      <c r="A170" s="1" cm="1">
        <f t="array" ref="A170">INDEX(salesmonthly!$A$2:$A$5000, INT((ROW()-2)/8)+1)</f>
        <v>42308</v>
      </c>
      <c r="B170" cm="1">
        <f t="array" ref="B170">INDEX(salesmonthly!$J$2:$J$5000, INT((ROW()-2)/8)+1)</f>
        <v>2015</v>
      </c>
      <c r="C170" cm="1">
        <f t="array" ref="C170">INDEX(salesmonthly!$K$2:$K$5000, INT((ROW()-2)/8)+1)</f>
        <v>10</v>
      </c>
      <c r="D170" t="str" cm="1">
        <f t="array" ref="D170">INDEX(salesmonthly!$B$1:$I$1, MOD(ROW()-2,8)+1)</f>
        <v>M01AB</v>
      </c>
      <c r="E170" t="str" cm="1">
        <f t="array" ref="E170">INDEX(salesmonthly!$B$2:$I$5000, INT((ROW()-2)/8)+1, MOD(ROW()-2,8)+1)</f>
        <v>195.81000000000014</v>
      </c>
    </row>
    <row r="171" spans="1:5" x14ac:dyDescent="0.35">
      <c r="A171" s="1" cm="1">
        <f t="array" ref="A171">INDEX(salesmonthly!$A$2:$A$5000, INT((ROW()-2)/8)+1)</f>
        <v>42308</v>
      </c>
      <c r="B171" cm="1">
        <f t="array" ref="B171">INDEX(salesmonthly!$J$2:$J$5000, INT((ROW()-2)/8)+1)</f>
        <v>2015</v>
      </c>
      <c r="C171" cm="1">
        <f t="array" ref="C171">INDEX(salesmonthly!$K$2:$K$5000, INT((ROW()-2)/8)+1)</f>
        <v>10</v>
      </c>
      <c r="D171" t="str" cm="1">
        <f t="array" ref="D171">INDEX(salesmonthly!$B$1:$I$1, MOD(ROW()-2,8)+1)</f>
        <v>M01AE</v>
      </c>
      <c r="E171" t="str" cm="1">
        <f t="array" ref="E171">INDEX(salesmonthly!$B$2:$I$5000, INT((ROW()-2)/8)+1, MOD(ROW()-2,8)+1)</f>
        <v>127.23099999999998</v>
      </c>
    </row>
    <row r="172" spans="1:5" x14ac:dyDescent="0.35">
      <c r="A172" s="1" cm="1">
        <f t="array" ref="A172">INDEX(salesmonthly!$A$2:$A$5000, INT((ROW()-2)/8)+1)</f>
        <v>42308</v>
      </c>
      <c r="B172" cm="1">
        <f t="array" ref="B172">INDEX(salesmonthly!$J$2:$J$5000, INT((ROW()-2)/8)+1)</f>
        <v>2015</v>
      </c>
      <c r="C172" cm="1">
        <f t="array" ref="C172">INDEX(salesmonthly!$K$2:$K$5000, INT((ROW()-2)/8)+1)</f>
        <v>10</v>
      </c>
      <c r="D172" t="str" cm="1">
        <f t="array" ref="D172">INDEX(salesmonthly!$B$1:$I$1, MOD(ROW()-2,8)+1)</f>
        <v>N02BA</v>
      </c>
      <c r="E172" t="str" cm="1">
        <f t="array" ref="E172">INDEX(salesmonthly!$B$2:$I$5000, INT((ROW()-2)/8)+1, MOD(ROW()-2,8)+1)</f>
        <v>146.20000000000002</v>
      </c>
    </row>
    <row r="173" spans="1:5" x14ac:dyDescent="0.35">
      <c r="A173" s="1" cm="1">
        <f t="array" ref="A173">INDEX(salesmonthly!$A$2:$A$5000, INT((ROW()-2)/8)+1)</f>
        <v>42308</v>
      </c>
      <c r="B173" cm="1">
        <f t="array" ref="B173">INDEX(salesmonthly!$J$2:$J$5000, INT((ROW()-2)/8)+1)</f>
        <v>2015</v>
      </c>
      <c r="C173" cm="1">
        <f t="array" ref="C173">INDEX(salesmonthly!$K$2:$K$5000, INT((ROW()-2)/8)+1)</f>
        <v>10</v>
      </c>
      <c r="D173" t="str" cm="1">
        <f t="array" ref="D173">INDEX(salesmonthly!$B$1:$I$1, MOD(ROW()-2,8)+1)</f>
        <v>N02BE</v>
      </c>
      <c r="E173" t="str" cm="1">
        <f t="array" ref="E173">INDEX(salesmonthly!$B$2:$I$5000, INT((ROW()-2)/8)+1, MOD(ROW()-2,8)+1)</f>
        <v>1574.3350000000007</v>
      </c>
    </row>
    <row r="174" spans="1:5" x14ac:dyDescent="0.35">
      <c r="A174" s="1" cm="1">
        <f t="array" ref="A174">INDEX(salesmonthly!$A$2:$A$5000, INT((ROW()-2)/8)+1)</f>
        <v>42308</v>
      </c>
      <c r="B174" cm="1">
        <f t="array" ref="B174">INDEX(salesmonthly!$J$2:$J$5000, INT((ROW()-2)/8)+1)</f>
        <v>2015</v>
      </c>
      <c r="C174" cm="1">
        <f t="array" ref="C174">INDEX(salesmonthly!$K$2:$K$5000, INT((ROW()-2)/8)+1)</f>
        <v>10</v>
      </c>
      <c r="D174" t="str" cm="1">
        <f t="array" ref="D174">INDEX(salesmonthly!$B$1:$I$1, MOD(ROW()-2,8)+1)</f>
        <v>N05B</v>
      </c>
      <c r="E174" cm="1">
        <f t="array" ref="E174">INDEX(salesmonthly!$B$2:$I$5000, INT((ROW()-2)/8)+1, MOD(ROW()-2,8)+1)</f>
        <v>222</v>
      </c>
    </row>
    <row r="175" spans="1:5" x14ac:dyDescent="0.35">
      <c r="A175" s="1" cm="1">
        <f t="array" ref="A175">INDEX(salesmonthly!$A$2:$A$5000, INT((ROW()-2)/8)+1)</f>
        <v>42308</v>
      </c>
      <c r="B175" cm="1">
        <f t="array" ref="B175">INDEX(salesmonthly!$J$2:$J$5000, INT((ROW()-2)/8)+1)</f>
        <v>2015</v>
      </c>
      <c r="C175" cm="1">
        <f t="array" ref="C175">INDEX(salesmonthly!$K$2:$K$5000, INT((ROW()-2)/8)+1)</f>
        <v>10</v>
      </c>
      <c r="D175" t="str" cm="1">
        <f t="array" ref="D175">INDEX(salesmonthly!$B$1:$I$1, MOD(ROW()-2,8)+1)</f>
        <v>N05C</v>
      </c>
      <c r="E175" cm="1">
        <f t="array" ref="E175">INDEX(salesmonthly!$B$2:$I$5000, INT((ROW()-2)/8)+1, MOD(ROW()-2,8)+1)</f>
        <v>8</v>
      </c>
    </row>
    <row r="176" spans="1:5" x14ac:dyDescent="0.35">
      <c r="A176" s="1" cm="1">
        <f t="array" ref="A176">INDEX(salesmonthly!$A$2:$A$5000, INT((ROW()-2)/8)+1)</f>
        <v>42308</v>
      </c>
      <c r="B176" cm="1">
        <f t="array" ref="B176">INDEX(salesmonthly!$J$2:$J$5000, INT((ROW()-2)/8)+1)</f>
        <v>2015</v>
      </c>
      <c r="C176" cm="1">
        <f t="array" ref="C176">INDEX(salesmonthly!$K$2:$K$5000, INT((ROW()-2)/8)+1)</f>
        <v>10</v>
      </c>
      <c r="D176" t="str" cm="1">
        <f t="array" ref="D176">INDEX(salesmonthly!$B$1:$I$1, MOD(ROW()-2,8)+1)</f>
        <v>R03</v>
      </c>
      <c r="E176" cm="1">
        <f t="array" ref="E176">INDEX(salesmonthly!$B$2:$I$5000, INT((ROW()-2)/8)+1, MOD(ROW()-2,8)+1)</f>
        <v>184</v>
      </c>
    </row>
    <row r="177" spans="1:5" x14ac:dyDescent="0.35">
      <c r="A177" s="1" cm="1">
        <f t="array" ref="A177">INDEX(salesmonthly!$A$2:$A$5000, INT((ROW()-2)/8)+1)</f>
        <v>42308</v>
      </c>
      <c r="B177" cm="1">
        <f t="array" ref="B177">INDEX(salesmonthly!$J$2:$J$5000, INT((ROW()-2)/8)+1)</f>
        <v>2015</v>
      </c>
      <c r="C177" cm="1">
        <f t="array" ref="C177">INDEX(salesmonthly!$K$2:$K$5000, INT((ROW()-2)/8)+1)</f>
        <v>10</v>
      </c>
      <c r="D177" t="str" cm="1">
        <f t="array" ref="D177">INDEX(salesmonthly!$B$1:$I$1, MOD(ROW()-2,8)+1)</f>
        <v>R06</v>
      </c>
      <c r="E177" cm="1">
        <f t="array" ref="E177">INDEX(salesmonthly!$B$2:$I$5000, INT((ROW()-2)/8)+1, MOD(ROW()-2,8)+1)</f>
        <v>72</v>
      </c>
    </row>
    <row r="178" spans="1:5" x14ac:dyDescent="0.35">
      <c r="A178" s="1" cm="1">
        <f t="array" ref="A178">INDEX(salesmonthly!$A$2:$A$5000, INT((ROW()-2)/8)+1)</f>
        <v>42338</v>
      </c>
      <c r="B178" cm="1">
        <f t="array" ref="B178">INDEX(salesmonthly!$J$2:$J$5000, INT((ROW()-2)/8)+1)</f>
        <v>2015</v>
      </c>
      <c r="C178" cm="1">
        <f t="array" ref="C178">INDEX(salesmonthly!$K$2:$K$5000, INT((ROW()-2)/8)+1)</f>
        <v>11</v>
      </c>
      <c r="D178" t="str" cm="1">
        <f t="array" ref="D178">INDEX(salesmonthly!$B$1:$I$1, MOD(ROW()-2,8)+1)</f>
        <v>M01AB</v>
      </c>
      <c r="E178" t="str" cm="1">
        <f t="array" ref="E178">INDEX(salesmonthly!$B$2:$I$5000, INT((ROW()-2)/8)+1, MOD(ROW()-2,8)+1)</f>
        <v>152.78000000000006</v>
      </c>
    </row>
    <row r="179" spans="1:5" x14ac:dyDescent="0.35">
      <c r="A179" s="1" cm="1">
        <f t="array" ref="A179">INDEX(salesmonthly!$A$2:$A$5000, INT((ROW()-2)/8)+1)</f>
        <v>42338</v>
      </c>
      <c r="B179" cm="1">
        <f t="array" ref="B179">INDEX(salesmonthly!$J$2:$J$5000, INT((ROW()-2)/8)+1)</f>
        <v>2015</v>
      </c>
      <c r="C179" cm="1">
        <f t="array" ref="C179">INDEX(salesmonthly!$K$2:$K$5000, INT((ROW()-2)/8)+1)</f>
        <v>11</v>
      </c>
      <c r="D179" t="str" cm="1">
        <f t="array" ref="D179">INDEX(salesmonthly!$B$1:$I$1, MOD(ROW()-2,8)+1)</f>
        <v>M01AE</v>
      </c>
      <c r="E179" cm="1">
        <f t="array" ref="E179">INDEX(salesmonthly!$B$2:$I$5000, INT((ROW()-2)/8)+1, MOD(ROW()-2,8)+1)</f>
        <v>128.233</v>
      </c>
    </row>
    <row r="180" spans="1:5" x14ac:dyDescent="0.35">
      <c r="A180" s="1" cm="1">
        <f t="array" ref="A180">INDEX(salesmonthly!$A$2:$A$5000, INT((ROW()-2)/8)+1)</f>
        <v>42338</v>
      </c>
      <c r="B180" cm="1">
        <f t="array" ref="B180">INDEX(salesmonthly!$J$2:$J$5000, INT((ROW()-2)/8)+1)</f>
        <v>2015</v>
      </c>
      <c r="C180" cm="1">
        <f t="array" ref="C180">INDEX(salesmonthly!$K$2:$K$5000, INT((ROW()-2)/8)+1)</f>
        <v>11</v>
      </c>
      <c r="D180" t="str" cm="1">
        <f t="array" ref="D180">INDEX(salesmonthly!$B$1:$I$1, MOD(ROW()-2,8)+1)</f>
        <v>N02BA</v>
      </c>
      <c r="E180" t="str" cm="1">
        <f t="array" ref="E180">INDEX(salesmonthly!$B$2:$I$5000, INT((ROW()-2)/8)+1, MOD(ROW()-2,8)+1)</f>
        <v>145.90000000000003</v>
      </c>
    </row>
    <row r="181" spans="1:5" x14ac:dyDescent="0.35">
      <c r="A181" s="1" cm="1">
        <f t="array" ref="A181">INDEX(salesmonthly!$A$2:$A$5000, INT((ROW()-2)/8)+1)</f>
        <v>42338</v>
      </c>
      <c r="B181" cm="1">
        <f t="array" ref="B181">INDEX(salesmonthly!$J$2:$J$5000, INT((ROW()-2)/8)+1)</f>
        <v>2015</v>
      </c>
      <c r="C181" cm="1">
        <f t="array" ref="C181">INDEX(salesmonthly!$K$2:$K$5000, INT((ROW()-2)/8)+1)</f>
        <v>11</v>
      </c>
      <c r="D181" t="str" cm="1">
        <f t="array" ref="D181">INDEX(salesmonthly!$B$1:$I$1, MOD(ROW()-2,8)+1)</f>
        <v>N02BE</v>
      </c>
      <c r="E181" cm="1">
        <f t="array" ref="E181">INDEX(salesmonthly!$B$2:$I$5000, INT((ROW()-2)/8)+1, MOD(ROW()-2,8)+1)</f>
        <v>1277.7249999999999</v>
      </c>
    </row>
    <row r="182" spans="1:5" x14ac:dyDescent="0.35">
      <c r="A182" s="1" cm="1">
        <f t="array" ref="A182">INDEX(salesmonthly!$A$2:$A$5000, INT((ROW()-2)/8)+1)</f>
        <v>42338</v>
      </c>
      <c r="B182" cm="1">
        <f t="array" ref="B182">INDEX(salesmonthly!$J$2:$J$5000, INT((ROW()-2)/8)+1)</f>
        <v>2015</v>
      </c>
      <c r="C182" cm="1">
        <f t="array" ref="C182">INDEX(salesmonthly!$K$2:$K$5000, INT((ROW()-2)/8)+1)</f>
        <v>11</v>
      </c>
      <c r="D182" t="str" cm="1">
        <f t="array" ref="D182">INDEX(salesmonthly!$B$1:$I$1, MOD(ROW()-2,8)+1)</f>
        <v>N05B</v>
      </c>
      <c r="E182" cm="1">
        <f t="array" ref="E182">INDEX(salesmonthly!$B$2:$I$5000, INT((ROW()-2)/8)+1, MOD(ROW()-2,8)+1)</f>
        <v>228</v>
      </c>
    </row>
    <row r="183" spans="1:5" x14ac:dyDescent="0.35">
      <c r="A183" s="1" cm="1">
        <f t="array" ref="A183">INDEX(salesmonthly!$A$2:$A$5000, INT((ROW()-2)/8)+1)</f>
        <v>42338</v>
      </c>
      <c r="B183" cm="1">
        <f t="array" ref="B183">INDEX(salesmonthly!$J$2:$J$5000, INT((ROW()-2)/8)+1)</f>
        <v>2015</v>
      </c>
      <c r="C183" cm="1">
        <f t="array" ref="C183">INDEX(salesmonthly!$K$2:$K$5000, INT((ROW()-2)/8)+1)</f>
        <v>11</v>
      </c>
      <c r="D183" t="str" cm="1">
        <f t="array" ref="D183">INDEX(salesmonthly!$B$1:$I$1, MOD(ROW()-2,8)+1)</f>
        <v>N05C</v>
      </c>
      <c r="E183" cm="1">
        <f t="array" ref="E183">INDEX(salesmonthly!$B$2:$I$5000, INT((ROW()-2)/8)+1, MOD(ROW()-2,8)+1)</f>
        <v>18</v>
      </c>
    </row>
    <row r="184" spans="1:5" x14ac:dyDescent="0.35">
      <c r="A184" s="1" cm="1">
        <f t="array" ref="A184">INDEX(salesmonthly!$A$2:$A$5000, INT((ROW()-2)/8)+1)</f>
        <v>42338</v>
      </c>
      <c r="B184" cm="1">
        <f t="array" ref="B184">INDEX(salesmonthly!$J$2:$J$5000, INT((ROW()-2)/8)+1)</f>
        <v>2015</v>
      </c>
      <c r="C184" cm="1">
        <f t="array" ref="C184">INDEX(salesmonthly!$K$2:$K$5000, INT((ROW()-2)/8)+1)</f>
        <v>11</v>
      </c>
      <c r="D184" t="str" cm="1">
        <f t="array" ref="D184">INDEX(salesmonthly!$B$1:$I$1, MOD(ROW()-2,8)+1)</f>
        <v>R03</v>
      </c>
      <c r="E184" cm="1">
        <f t="array" ref="E184">INDEX(salesmonthly!$B$2:$I$5000, INT((ROW()-2)/8)+1, MOD(ROW()-2,8)+1)</f>
        <v>195</v>
      </c>
    </row>
    <row r="185" spans="1:5" x14ac:dyDescent="0.35">
      <c r="A185" s="1" cm="1">
        <f t="array" ref="A185">INDEX(salesmonthly!$A$2:$A$5000, INT((ROW()-2)/8)+1)</f>
        <v>42338</v>
      </c>
      <c r="B185" cm="1">
        <f t="array" ref="B185">INDEX(salesmonthly!$J$2:$J$5000, INT((ROW()-2)/8)+1)</f>
        <v>2015</v>
      </c>
      <c r="C185" cm="1">
        <f t="array" ref="C185">INDEX(salesmonthly!$K$2:$K$5000, INT((ROW()-2)/8)+1)</f>
        <v>11</v>
      </c>
      <c r="D185" t="str" cm="1">
        <f t="array" ref="D185">INDEX(salesmonthly!$B$1:$I$1, MOD(ROW()-2,8)+1)</f>
        <v>R06</v>
      </c>
      <c r="E185" cm="1">
        <f t="array" ref="E185">INDEX(salesmonthly!$B$2:$I$5000, INT((ROW()-2)/8)+1, MOD(ROW()-2,8)+1)</f>
        <v>44</v>
      </c>
    </row>
    <row r="186" spans="1:5" x14ac:dyDescent="0.35">
      <c r="A186" s="1" cm="1">
        <f t="array" ref="A186">INDEX(salesmonthly!$A$2:$A$5000, INT((ROW()-2)/8)+1)</f>
        <v>42369</v>
      </c>
      <c r="B186" cm="1">
        <f t="array" ref="B186">INDEX(salesmonthly!$J$2:$J$5000, INT((ROW()-2)/8)+1)</f>
        <v>2015</v>
      </c>
      <c r="C186" cm="1">
        <f t="array" ref="C186">INDEX(salesmonthly!$K$2:$K$5000, INT((ROW()-2)/8)+1)</f>
        <v>12</v>
      </c>
      <c r="D186" t="str" cm="1">
        <f t="array" ref="D186">INDEX(salesmonthly!$B$1:$I$1, MOD(ROW()-2,8)+1)</f>
        <v>M01AB</v>
      </c>
      <c r="E186" t="str" cm="1">
        <f t="array" ref="E186">INDEX(salesmonthly!$B$2:$I$5000, INT((ROW()-2)/8)+1, MOD(ROW()-2,8)+1)</f>
        <v>159.46000000000004</v>
      </c>
    </row>
    <row r="187" spans="1:5" x14ac:dyDescent="0.35">
      <c r="A187" s="1" cm="1">
        <f t="array" ref="A187">INDEX(salesmonthly!$A$2:$A$5000, INT((ROW()-2)/8)+1)</f>
        <v>42369</v>
      </c>
      <c r="B187" cm="1">
        <f t="array" ref="B187">INDEX(salesmonthly!$J$2:$J$5000, INT((ROW()-2)/8)+1)</f>
        <v>2015</v>
      </c>
      <c r="C187" cm="1">
        <f t="array" ref="C187">INDEX(salesmonthly!$K$2:$K$5000, INT((ROW()-2)/8)+1)</f>
        <v>12</v>
      </c>
      <c r="D187" t="str" cm="1">
        <f t="array" ref="D187">INDEX(salesmonthly!$B$1:$I$1, MOD(ROW()-2,8)+1)</f>
        <v>M01AE</v>
      </c>
      <c r="E187" t="str" cm="1">
        <f t="array" ref="E187">INDEX(salesmonthly!$B$2:$I$5000, INT((ROW()-2)/8)+1, MOD(ROW()-2,8)+1)</f>
        <v>131.29100000000003</v>
      </c>
    </row>
    <row r="188" spans="1:5" x14ac:dyDescent="0.35">
      <c r="A188" s="1" cm="1">
        <f t="array" ref="A188">INDEX(salesmonthly!$A$2:$A$5000, INT((ROW()-2)/8)+1)</f>
        <v>42369</v>
      </c>
      <c r="B188" cm="1">
        <f t="array" ref="B188">INDEX(salesmonthly!$J$2:$J$5000, INT((ROW()-2)/8)+1)</f>
        <v>2015</v>
      </c>
      <c r="C188" cm="1">
        <f t="array" ref="C188">INDEX(salesmonthly!$K$2:$K$5000, INT((ROW()-2)/8)+1)</f>
        <v>12</v>
      </c>
      <c r="D188" t="str" cm="1">
        <f t="array" ref="D188">INDEX(salesmonthly!$B$1:$I$1, MOD(ROW()-2,8)+1)</f>
        <v>N02BA</v>
      </c>
      <c r="E188" t="str" cm="1">
        <f t="array" ref="E188">INDEX(salesmonthly!$B$2:$I$5000, INT((ROW()-2)/8)+1, MOD(ROW()-2,8)+1)</f>
        <v>136.99999999999997</v>
      </c>
    </row>
    <row r="189" spans="1:5" x14ac:dyDescent="0.35">
      <c r="A189" s="1" cm="1">
        <f t="array" ref="A189">INDEX(salesmonthly!$A$2:$A$5000, INT((ROW()-2)/8)+1)</f>
        <v>42369</v>
      </c>
      <c r="B189" cm="1">
        <f t="array" ref="B189">INDEX(salesmonthly!$J$2:$J$5000, INT((ROW()-2)/8)+1)</f>
        <v>2015</v>
      </c>
      <c r="C189" cm="1">
        <f t="array" ref="C189">INDEX(salesmonthly!$K$2:$K$5000, INT((ROW()-2)/8)+1)</f>
        <v>12</v>
      </c>
      <c r="D189" t="str" cm="1">
        <f t="array" ref="D189">INDEX(salesmonthly!$B$1:$I$1, MOD(ROW()-2,8)+1)</f>
        <v>N02BE</v>
      </c>
      <c r="E189" t="str" cm="1">
        <f t="array" ref="E189">INDEX(salesmonthly!$B$2:$I$5000, INT((ROW()-2)/8)+1, MOD(ROW()-2,8)+1)</f>
        <v>1258.3490000000002</v>
      </c>
    </row>
    <row r="190" spans="1:5" x14ac:dyDescent="0.35">
      <c r="A190" s="1" cm="1">
        <f t="array" ref="A190">INDEX(salesmonthly!$A$2:$A$5000, INT((ROW()-2)/8)+1)</f>
        <v>42369</v>
      </c>
      <c r="B190" cm="1">
        <f t="array" ref="B190">INDEX(salesmonthly!$J$2:$J$5000, INT((ROW()-2)/8)+1)</f>
        <v>2015</v>
      </c>
      <c r="C190" cm="1">
        <f t="array" ref="C190">INDEX(salesmonthly!$K$2:$K$5000, INT((ROW()-2)/8)+1)</f>
        <v>12</v>
      </c>
      <c r="D190" t="str" cm="1">
        <f t="array" ref="D190">INDEX(salesmonthly!$B$1:$I$1, MOD(ROW()-2,8)+1)</f>
        <v>N05B</v>
      </c>
      <c r="E190" cm="1">
        <f t="array" ref="E190">INDEX(salesmonthly!$B$2:$I$5000, INT((ROW()-2)/8)+1, MOD(ROW()-2,8)+1)</f>
        <v>286</v>
      </c>
    </row>
    <row r="191" spans="1:5" x14ac:dyDescent="0.35">
      <c r="A191" s="1" cm="1">
        <f t="array" ref="A191">INDEX(salesmonthly!$A$2:$A$5000, INT((ROW()-2)/8)+1)</f>
        <v>42369</v>
      </c>
      <c r="B191" cm="1">
        <f t="array" ref="B191">INDEX(salesmonthly!$J$2:$J$5000, INT((ROW()-2)/8)+1)</f>
        <v>2015</v>
      </c>
      <c r="C191" cm="1">
        <f t="array" ref="C191">INDEX(salesmonthly!$K$2:$K$5000, INT((ROW()-2)/8)+1)</f>
        <v>12</v>
      </c>
      <c r="D191" t="str" cm="1">
        <f t="array" ref="D191">INDEX(salesmonthly!$B$1:$I$1, MOD(ROW()-2,8)+1)</f>
        <v>N05C</v>
      </c>
      <c r="E191" cm="1">
        <f t="array" ref="E191">INDEX(salesmonthly!$B$2:$I$5000, INT((ROW()-2)/8)+1, MOD(ROW()-2,8)+1)</f>
        <v>28</v>
      </c>
    </row>
    <row r="192" spans="1:5" x14ac:dyDescent="0.35">
      <c r="A192" s="1" cm="1">
        <f t="array" ref="A192">INDEX(salesmonthly!$A$2:$A$5000, INT((ROW()-2)/8)+1)</f>
        <v>42369</v>
      </c>
      <c r="B192" cm="1">
        <f t="array" ref="B192">INDEX(salesmonthly!$J$2:$J$5000, INT((ROW()-2)/8)+1)</f>
        <v>2015</v>
      </c>
      <c r="C192" cm="1">
        <f t="array" ref="C192">INDEX(salesmonthly!$K$2:$K$5000, INT((ROW()-2)/8)+1)</f>
        <v>12</v>
      </c>
      <c r="D192" t="str" cm="1">
        <f t="array" ref="D192">INDEX(salesmonthly!$B$1:$I$1, MOD(ROW()-2,8)+1)</f>
        <v>R03</v>
      </c>
      <c r="E192" cm="1">
        <f t="array" ref="E192">INDEX(salesmonthly!$B$2:$I$5000, INT((ROW()-2)/8)+1, MOD(ROW()-2,8)+1)</f>
        <v>231</v>
      </c>
    </row>
    <row r="193" spans="1:5" x14ac:dyDescent="0.35">
      <c r="A193" s="1" cm="1">
        <f t="array" ref="A193">INDEX(salesmonthly!$A$2:$A$5000, INT((ROW()-2)/8)+1)</f>
        <v>42369</v>
      </c>
      <c r="B193" cm="1">
        <f t="array" ref="B193">INDEX(salesmonthly!$J$2:$J$5000, INT((ROW()-2)/8)+1)</f>
        <v>2015</v>
      </c>
      <c r="C193" cm="1">
        <f t="array" ref="C193">INDEX(salesmonthly!$K$2:$K$5000, INT((ROW()-2)/8)+1)</f>
        <v>12</v>
      </c>
      <c r="D193" t="str" cm="1">
        <f t="array" ref="D193">INDEX(salesmonthly!$B$1:$I$1, MOD(ROW()-2,8)+1)</f>
        <v>R06</v>
      </c>
      <c r="E193" cm="1">
        <f t="array" ref="E193">INDEX(salesmonthly!$B$2:$I$5000, INT((ROW()-2)/8)+1, MOD(ROW()-2,8)+1)</f>
        <v>41.73</v>
      </c>
    </row>
    <row r="194" spans="1:5" x14ac:dyDescent="0.35">
      <c r="A194" s="1" cm="1">
        <f t="array" ref="A194">INDEX(salesmonthly!$A$2:$A$5000, INT((ROW()-2)/8)+1)</f>
        <v>42400</v>
      </c>
      <c r="B194" cm="1">
        <f t="array" ref="B194">INDEX(salesmonthly!$J$2:$J$5000, INT((ROW()-2)/8)+1)</f>
        <v>2016</v>
      </c>
      <c r="C194" cm="1">
        <f t="array" ref="C194">INDEX(salesmonthly!$K$2:$K$5000, INT((ROW()-2)/8)+1)</f>
        <v>1</v>
      </c>
      <c r="D194" t="str" cm="1">
        <f t="array" ref="D194">INDEX(salesmonthly!$B$1:$I$1, MOD(ROW()-2,8)+1)</f>
        <v>M01AB</v>
      </c>
      <c r="E194" t="str" cm="1">
        <f t="array" ref="E194">INDEX(salesmonthly!$B$2:$I$5000, INT((ROW()-2)/8)+1, MOD(ROW()-2,8)+1)</f>
        <v>171.65000000000006</v>
      </c>
    </row>
    <row r="195" spans="1:5" x14ac:dyDescent="0.35">
      <c r="A195" s="1" cm="1">
        <f t="array" ref="A195">INDEX(salesmonthly!$A$2:$A$5000, INT((ROW()-2)/8)+1)</f>
        <v>42400</v>
      </c>
      <c r="B195" cm="1">
        <f t="array" ref="B195">INDEX(salesmonthly!$J$2:$J$5000, INT((ROW()-2)/8)+1)</f>
        <v>2016</v>
      </c>
      <c r="C195" cm="1">
        <f t="array" ref="C195">INDEX(salesmonthly!$K$2:$K$5000, INT((ROW()-2)/8)+1)</f>
        <v>1</v>
      </c>
      <c r="D195" t="str" cm="1">
        <f t="array" ref="D195">INDEX(salesmonthly!$B$1:$I$1, MOD(ROW()-2,8)+1)</f>
        <v>M01AE</v>
      </c>
      <c r="E195" cm="1">
        <f t="array" ref="E195">INDEX(salesmonthly!$B$2:$I$5000, INT((ROW()-2)/8)+1, MOD(ROW()-2,8)+1)</f>
        <v>128.40199999999999</v>
      </c>
    </row>
    <row r="196" spans="1:5" x14ac:dyDescent="0.35">
      <c r="A196" s="1" cm="1">
        <f t="array" ref="A196">INDEX(salesmonthly!$A$2:$A$5000, INT((ROW()-2)/8)+1)</f>
        <v>42400</v>
      </c>
      <c r="B196" cm="1">
        <f t="array" ref="B196">INDEX(salesmonthly!$J$2:$J$5000, INT((ROW()-2)/8)+1)</f>
        <v>2016</v>
      </c>
      <c r="C196" cm="1">
        <f t="array" ref="C196">INDEX(salesmonthly!$K$2:$K$5000, INT((ROW()-2)/8)+1)</f>
        <v>1</v>
      </c>
      <c r="D196" t="str" cm="1">
        <f t="array" ref="D196">INDEX(salesmonthly!$B$1:$I$1, MOD(ROW()-2,8)+1)</f>
        <v>N02BA</v>
      </c>
      <c r="E196" t="str" cm="1">
        <f t="array" ref="E196">INDEX(salesmonthly!$B$2:$I$5000, INT((ROW()-2)/8)+1, MOD(ROW()-2,8)+1)</f>
        <v>172.49999999999997</v>
      </c>
    </row>
    <row r="197" spans="1:5" x14ac:dyDescent="0.35">
      <c r="A197" s="1" cm="1">
        <f t="array" ref="A197">INDEX(salesmonthly!$A$2:$A$5000, INT((ROW()-2)/8)+1)</f>
        <v>42400</v>
      </c>
      <c r="B197" cm="1">
        <f t="array" ref="B197">INDEX(salesmonthly!$J$2:$J$5000, INT((ROW()-2)/8)+1)</f>
        <v>2016</v>
      </c>
      <c r="C197" cm="1">
        <f t="array" ref="C197">INDEX(salesmonthly!$K$2:$K$5000, INT((ROW()-2)/8)+1)</f>
        <v>1</v>
      </c>
      <c r="D197" t="str" cm="1">
        <f t="array" ref="D197">INDEX(salesmonthly!$B$1:$I$1, MOD(ROW()-2,8)+1)</f>
        <v>N02BE</v>
      </c>
      <c r="E197" t="str" cm="1">
        <f t="array" ref="E197">INDEX(salesmonthly!$B$2:$I$5000, INT((ROW()-2)/8)+1, MOD(ROW()-2,8)+1)</f>
        <v>1476.3240000000003</v>
      </c>
    </row>
    <row r="198" spans="1:5" x14ac:dyDescent="0.35">
      <c r="A198" s="1" cm="1">
        <f t="array" ref="A198">INDEX(salesmonthly!$A$2:$A$5000, INT((ROW()-2)/8)+1)</f>
        <v>42400</v>
      </c>
      <c r="B198" cm="1">
        <f t="array" ref="B198">INDEX(salesmonthly!$J$2:$J$5000, INT((ROW()-2)/8)+1)</f>
        <v>2016</v>
      </c>
      <c r="C198" cm="1">
        <f t="array" ref="C198">INDEX(salesmonthly!$K$2:$K$5000, INT((ROW()-2)/8)+1)</f>
        <v>1</v>
      </c>
      <c r="D198" t="str" cm="1">
        <f t="array" ref="D198">INDEX(salesmonthly!$B$1:$I$1, MOD(ROW()-2,8)+1)</f>
        <v>N05B</v>
      </c>
      <c r="E198" cm="1">
        <f t="array" ref="E198">INDEX(salesmonthly!$B$2:$I$5000, INT((ROW()-2)/8)+1, MOD(ROW()-2,8)+1)</f>
        <v>248</v>
      </c>
    </row>
    <row r="199" spans="1:5" x14ac:dyDescent="0.35">
      <c r="A199" s="1" cm="1">
        <f t="array" ref="A199">INDEX(salesmonthly!$A$2:$A$5000, INT((ROW()-2)/8)+1)</f>
        <v>42400</v>
      </c>
      <c r="B199" cm="1">
        <f t="array" ref="B199">INDEX(salesmonthly!$J$2:$J$5000, INT((ROW()-2)/8)+1)</f>
        <v>2016</v>
      </c>
      <c r="C199" cm="1">
        <f t="array" ref="C199">INDEX(salesmonthly!$K$2:$K$5000, INT((ROW()-2)/8)+1)</f>
        <v>1</v>
      </c>
      <c r="D199" t="str" cm="1">
        <f t="array" ref="D199">INDEX(salesmonthly!$B$1:$I$1, MOD(ROW()-2,8)+1)</f>
        <v>N05C</v>
      </c>
      <c r="E199" cm="1">
        <f t="array" ref="E199">INDEX(salesmonthly!$B$2:$I$5000, INT((ROW()-2)/8)+1, MOD(ROW()-2,8)+1)</f>
        <v>24</v>
      </c>
    </row>
    <row r="200" spans="1:5" x14ac:dyDescent="0.35">
      <c r="A200" s="1" cm="1">
        <f t="array" ref="A200">INDEX(salesmonthly!$A$2:$A$5000, INT((ROW()-2)/8)+1)</f>
        <v>42400</v>
      </c>
      <c r="B200" cm="1">
        <f t="array" ref="B200">INDEX(salesmonthly!$J$2:$J$5000, INT((ROW()-2)/8)+1)</f>
        <v>2016</v>
      </c>
      <c r="C200" cm="1">
        <f t="array" ref="C200">INDEX(salesmonthly!$K$2:$K$5000, INT((ROW()-2)/8)+1)</f>
        <v>1</v>
      </c>
      <c r="D200" t="str" cm="1">
        <f t="array" ref="D200">INDEX(salesmonthly!$B$1:$I$1, MOD(ROW()-2,8)+1)</f>
        <v>R03</v>
      </c>
      <c r="E200" cm="1">
        <f t="array" ref="E200">INDEX(salesmonthly!$B$2:$I$5000, INT((ROW()-2)/8)+1, MOD(ROW()-2,8)+1)</f>
        <v>174</v>
      </c>
    </row>
    <row r="201" spans="1:5" x14ac:dyDescent="0.35">
      <c r="A201" s="1" cm="1">
        <f t="array" ref="A201">INDEX(salesmonthly!$A$2:$A$5000, INT((ROW()-2)/8)+1)</f>
        <v>42400</v>
      </c>
      <c r="B201" cm="1">
        <f t="array" ref="B201">INDEX(salesmonthly!$J$2:$J$5000, INT((ROW()-2)/8)+1)</f>
        <v>2016</v>
      </c>
      <c r="C201" cm="1">
        <f t="array" ref="C201">INDEX(salesmonthly!$K$2:$K$5000, INT((ROW()-2)/8)+1)</f>
        <v>1</v>
      </c>
      <c r="D201" t="str" cm="1">
        <f t="array" ref="D201">INDEX(salesmonthly!$B$1:$I$1, MOD(ROW()-2,8)+1)</f>
        <v>R06</v>
      </c>
      <c r="E201" cm="1">
        <f t="array" ref="E201">INDEX(salesmonthly!$B$2:$I$5000, INT((ROW()-2)/8)+1, MOD(ROW()-2,8)+1)</f>
        <v>56.5</v>
      </c>
    </row>
    <row r="202" spans="1:5" x14ac:dyDescent="0.35">
      <c r="A202" s="1" cm="1">
        <f t="array" ref="A202">INDEX(salesmonthly!$A$2:$A$5000, INT((ROW()-2)/8)+1)</f>
        <v>42429</v>
      </c>
      <c r="B202" cm="1">
        <f t="array" ref="B202">INDEX(salesmonthly!$J$2:$J$5000, INT((ROW()-2)/8)+1)</f>
        <v>2016</v>
      </c>
      <c r="C202" cm="1">
        <f t="array" ref="C202">INDEX(salesmonthly!$K$2:$K$5000, INT((ROW()-2)/8)+1)</f>
        <v>2</v>
      </c>
      <c r="D202" t="str" cm="1">
        <f t="array" ref="D202">INDEX(salesmonthly!$B$1:$I$1, MOD(ROW()-2,8)+1)</f>
        <v>M01AB</v>
      </c>
      <c r="E202" t="str" cm="1">
        <f t="array" ref="E202">INDEX(salesmonthly!$B$2:$I$5000, INT((ROW()-2)/8)+1, MOD(ROW()-2,8)+1)</f>
        <v>173.81000000000003</v>
      </c>
    </row>
    <row r="203" spans="1:5" x14ac:dyDescent="0.35">
      <c r="A203" s="1" cm="1">
        <f t="array" ref="A203">INDEX(salesmonthly!$A$2:$A$5000, INT((ROW()-2)/8)+1)</f>
        <v>42429</v>
      </c>
      <c r="B203" cm="1">
        <f t="array" ref="B203">INDEX(salesmonthly!$J$2:$J$5000, INT((ROW()-2)/8)+1)</f>
        <v>2016</v>
      </c>
      <c r="C203" cm="1">
        <f t="array" ref="C203">INDEX(salesmonthly!$K$2:$K$5000, INT((ROW()-2)/8)+1)</f>
        <v>2</v>
      </c>
      <c r="D203" t="str" cm="1">
        <f t="array" ref="D203">INDEX(salesmonthly!$B$1:$I$1, MOD(ROW()-2,8)+1)</f>
        <v>M01AE</v>
      </c>
      <c r="E203" cm="1">
        <f t="array" ref="E203">INDEX(salesmonthly!$B$2:$I$5000, INT((ROW()-2)/8)+1, MOD(ROW()-2,8)+1)</f>
        <v>137.52799999999999</v>
      </c>
    </row>
    <row r="204" spans="1:5" x14ac:dyDescent="0.35">
      <c r="A204" s="1" cm="1">
        <f t="array" ref="A204">INDEX(salesmonthly!$A$2:$A$5000, INT((ROW()-2)/8)+1)</f>
        <v>42429</v>
      </c>
      <c r="B204" cm="1">
        <f t="array" ref="B204">INDEX(salesmonthly!$J$2:$J$5000, INT((ROW()-2)/8)+1)</f>
        <v>2016</v>
      </c>
      <c r="C204" cm="1">
        <f t="array" ref="C204">INDEX(salesmonthly!$K$2:$K$5000, INT((ROW()-2)/8)+1)</f>
        <v>2</v>
      </c>
      <c r="D204" t="str" cm="1">
        <f t="array" ref="D204">INDEX(salesmonthly!$B$1:$I$1, MOD(ROW()-2,8)+1)</f>
        <v>N02BA</v>
      </c>
      <c r="E204" t="str" cm="1">
        <f t="array" ref="E204">INDEX(salesmonthly!$B$2:$I$5000, INT((ROW()-2)/8)+1, MOD(ROW()-2,8)+1)</f>
        <v>134.20000000000002</v>
      </c>
    </row>
    <row r="205" spans="1:5" x14ac:dyDescent="0.35">
      <c r="A205" s="1" cm="1">
        <f t="array" ref="A205">INDEX(salesmonthly!$A$2:$A$5000, INT((ROW()-2)/8)+1)</f>
        <v>42429</v>
      </c>
      <c r="B205" cm="1">
        <f t="array" ref="B205">INDEX(salesmonthly!$J$2:$J$5000, INT((ROW()-2)/8)+1)</f>
        <v>2016</v>
      </c>
      <c r="C205" cm="1">
        <f t="array" ref="C205">INDEX(salesmonthly!$K$2:$K$5000, INT((ROW()-2)/8)+1)</f>
        <v>2</v>
      </c>
      <c r="D205" t="str" cm="1">
        <f t="array" ref="D205">INDEX(salesmonthly!$B$1:$I$1, MOD(ROW()-2,8)+1)</f>
        <v>N02BE</v>
      </c>
      <c r="E205" t="str" cm="1">
        <f t="array" ref="E205">INDEX(salesmonthly!$B$2:$I$5000, INT((ROW()-2)/8)+1, MOD(ROW()-2,8)+1)</f>
        <v>1224.8620000000003</v>
      </c>
    </row>
    <row r="206" spans="1:5" x14ac:dyDescent="0.35">
      <c r="A206" s="1" cm="1">
        <f t="array" ref="A206">INDEX(salesmonthly!$A$2:$A$5000, INT((ROW()-2)/8)+1)</f>
        <v>42429</v>
      </c>
      <c r="B206" cm="1">
        <f t="array" ref="B206">INDEX(salesmonthly!$J$2:$J$5000, INT((ROW()-2)/8)+1)</f>
        <v>2016</v>
      </c>
      <c r="C206" cm="1">
        <f t="array" ref="C206">INDEX(salesmonthly!$K$2:$K$5000, INT((ROW()-2)/8)+1)</f>
        <v>2</v>
      </c>
      <c r="D206" t="str" cm="1">
        <f t="array" ref="D206">INDEX(salesmonthly!$B$1:$I$1, MOD(ROW()-2,8)+1)</f>
        <v>N05B</v>
      </c>
      <c r="E206" cm="1">
        <f t="array" ref="E206">INDEX(salesmonthly!$B$2:$I$5000, INT((ROW()-2)/8)+1, MOD(ROW()-2,8)+1)</f>
        <v>239</v>
      </c>
    </row>
    <row r="207" spans="1:5" x14ac:dyDescent="0.35">
      <c r="A207" s="1" cm="1">
        <f t="array" ref="A207">INDEX(salesmonthly!$A$2:$A$5000, INT((ROW()-2)/8)+1)</f>
        <v>42429</v>
      </c>
      <c r="B207" cm="1">
        <f t="array" ref="B207">INDEX(salesmonthly!$J$2:$J$5000, INT((ROW()-2)/8)+1)</f>
        <v>2016</v>
      </c>
      <c r="C207" cm="1">
        <f t="array" ref="C207">INDEX(salesmonthly!$K$2:$K$5000, INT((ROW()-2)/8)+1)</f>
        <v>2</v>
      </c>
      <c r="D207" t="str" cm="1">
        <f t="array" ref="D207">INDEX(salesmonthly!$B$1:$I$1, MOD(ROW()-2,8)+1)</f>
        <v>N05C</v>
      </c>
      <c r="E207" cm="1">
        <f t="array" ref="E207">INDEX(salesmonthly!$B$2:$I$5000, INT((ROW()-2)/8)+1, MOD(ROW()-2,8)+1)</f>
        <v>20</v>
      </c>
    </row>
    <row r="208" spans="1:5" x14ac:dyDescent="0.35">
      <c r="A208" s="1" cm="1">
        <f t="array" ref="A208">INDEX(salesmonthly!$A$2:$A$5000, INT((ROW()-2)/8)+1)</f>
        <v>42429</v>
      </c>
      <c r="B208" cm="1">
        <f t="array" ref="B208">INDEX(salesmonthly!$J$2:$J$5000, INT((ROW()-2)/8)+1)</f>
        <v>2016</v>
      </c>
      <c r="C208" cm="1">
        <f t="array" ref="C208">INDEX(salesmonthly!$K$2:$K$5000, INT((ROW()-2)/8)+1)</f>
        <v>2</v>
      </c>
      <c r="D208" t="str" cm="1">
        <f t="array" ref="D208">INDEX(salesmonthly!$B$1:$I$1, MOD(ROW()-2,8)+1)</f>
        <v>R03</v>
      </c>
      <c r="E208" cm="1">
        <f t="array" ref="E208">INDEX(salesmonthly!$B$2:$I$5000, INT((ROW()-2)/8)+1, MOD(ROW()-2,8)+1)</f>
        <v>245</v>
      </c>
    </row>
    <row r="209" spans="1:5" x14ac:dyDescent="0.35">
      <c r="A209" s="1" cm="1">
        <f t="array" ref="A209">INDEX(salesmonthly!$A$2:$A$5000, INT((ROW()-2)/8)+1)</f>
        <v>42429</v>
      </c>
      <c r="B209" cm="1">
        <f t="array" ref="B209">INDEX(salesmonthly!$J$2:$J$5000, INT((ROW()-2)/8)+1)</f>
        <v>2016</v>
      </c>
      <c r="C209" cm="1">
        <f t="array" ref="C209">INDEX(salesmonthly!$K$2:$K$5000, INT((ROW()-2)/8)+1)</f>
        <v>2</v>
      </c>
      <c r="D209" t="str" cm="1">
        <f t="array" ref="D209">INDEX(salesmonthly!$B$1:$I$1, MOD(ROW()-2,8)+1)</f>
        <v>R06</v>
      </c>
      <c r="E209" cm="1">
        <f t="array" ref="E209">INDEX(salesmonthly!$B$2:$I$5000, INT((ROW()-2)/8)+1, MOD(ROW()-2,8)+1)</f>
        <v>58</v>
      </c>
    </row>
    <row r="210" spans="1:5" x14ac:dyDescent="0.35">
      <c r="A210" s="1" cm="1">
        <f t="array" ref="A210">INDEX(salesmonthly!$A$2:$A$5000, INT((ROW()-2)/8)+1)</f>
        <v>42460</v>
      </c>
      <c r="B210" cm="1">
        <f t="array" ref="B210">INDEX(salesmonthly!$J$2:$J$5000, INT((ROW()-2)/8)+1)</f>
        <v>2016</v>
      </c>
      <c r="C210" cm="1">
        <f t="array" ref="C210">INDEX(salesmonthly!$K$2:$K$5000, INT((ROW()-2)/8)+1)</f>
        <v>3</v>
      </c>
      <c r="D210" t="str" cm="1">
        <f t="array" ref="D210">INDEX(salesmonthly!$B$1:$I$1, MOD(ROW()-2,8)+1)</f>
        <v>M01AB</v>
      </c>
      <c r="E210" t="str" cm="1">
        <f t="array" ref="E210">INDEX(salesmonthly!$B$2:$I$5000, INT((ROW()-2)/8)+1, MOD(ROW()-2,8)+1)</f>
        <v>156.64000000000004</v>
      </c>
    </row>
    <row r="211" spans="1:5" x14ac:dyDescent="0.35">
      <c r="A211" s="1" cm="1">
        <f t="array" ref="A211">INDEX(salesmonthly!$A$2:$A$5000, INT((ROW()-2)/8)+1)</f>
        <v>42460</v>
      </c>
      <c r="B211" cm="1">
        <f t="array" ref="B211">INDEX(salesmonthly!$J$2:$J$5000, INT((ROW()-2)/8)+1)</f>
        <v>2016</v>
      </c>
      <c r="C211" cm="1">
        <f t="array" ref="C211">INDEX(salesmonthly!$K$2:$K$5000, INT((ROW()-2)/8)+1)</f>
        <v>3</v>
      </c>
      <c r="D211" t="str" cm="1">
        <f t="array" ref="D211">INDEX(salesmonthly!$B$1:$I$1, MOD(ROW()-2,8)+1)</f>
        <v>M01AE</v>
      </c>
      <c r="E211" t="str" cm="1">
        <f t="array" ref="E211">INDEX(salesmonthly!$B$2:$I$5000, INT((ROW()-2)/8)+1, MOD(ROW()-2,8)+1)</f>
        <v>180.5890000000001</v>
      </c>
    </row>
    <row r="212" spans="1:5" x14ac:dyDescent="0.35">
      <c r="A212" s="1" cm="1">
        <f t="array" ref="A212">INDEX(salesmonthly!$A$2:$A$5000, INT((ROW()-2)/8)+1)</f>
        <v>42460</v>
      </c>
      <c r="B212" cm="1">
        <f t="array" ref="B212">INDEX(salesmonthly!$J$2:$J$5000, INT((ROW()-2)/8)+1)</f>
        <v>2016</v>
      </c>
      <c r="C212" cm="1">
        <f t="array" ref="C212">INDEX(salesmonthly!$K$2:$K$5000, INT((ROW()-2)/8)+1)</f>
        <v>3</v>
      </c>
      <c r="D212" t="str" cm="1">
        <f t="array" ref="D212">INDEX(salesmonthly!$B$1:$I$1, MOD(ROW()-2,8)+1)</f>
        <v>N02BA</v>
      </c>
      <c r="E212" cm="1">
        <f t="array" ref="E212">INDEX(salesmonthly!$B$2:$I$5000, INT((ROW()-2)/8)+1, MOD(ROW()-2,8)+1)</f>
        <v>148.4</v>
      </c>
    </row>
    <row r="213" spans="1:5" x14ac:dyDescent="0.35">
      <c r="A213" s="1" cm="1">
        <f t="array" ref="A213">INDEX(salesmonthly!$A$2:$A$5000, INT((ROW()-2)/8)+1)</f>
        <v>42460</v>
      </c>
      <c r="B213" cm="1">
        <f t="array" ref="B213">INDEX(salesmonthly!$J$2:$J$5000, INT((ROW()-2)/8)+1)</f>
        <v>2016</v>
      </c>
      <c r="C213" cm="1">
        <f t="array" ref="C213">INDEX(salesmonthly!$K$2:$K$5000, INT((ROW()-2)/8)+1)</f>
        <v>3</v>
      </c>
      <c r="D213" t="str" cm="1">
        <f t="array" ref="D213">INDEX(salesmonthly!$B$1:$I$1, MOD(ROW()-2,8)+1)</f>
        <v>N02BE</v>
      </c>
      <c r="E213" t="str" cm="1">
        <f t="array" ref="E213">INDEX(salesmonthly!$B$2:$I$5000, INT((ROW()-2)/8)+1, MOD(ROW()-2,8)+1)</f>
        <v>1150.7000000000003</v>
      </c>
    </row>
    <row r="214" spans="1:5" x14ac:dyDescent="0.35">
      <c r="A214" s="1" cm="1">
        <f t="array" ref="A214">INDEX(salesmonthly!$A$2:$A$5000, INT((ROW()-2)/8)+1)</f>
        <v>42460</v>
      </c>
      <c r="B214" cm="1">
        <f t="array" ref="B214">INDEX(salesmonthly!$J$2:$J$5000, INT((ROW()-2)/8)+1)</f>
        <v>2016</v>
      </c>
      <c r="C214" cm="1">
        <f t="array" ref="C214">INDEX(salesmonthly!$K$2:$K$5000, INT((ROW()-2)/8)+1)</f>
        <v>3</v>
      </c>
      <c r="D214" t="str" cm="1">
        <f t="array" ref="D214">INDEX(salesmonthly!$B$1:$I$1, MOD(ROW()-2,8)+1)</f>
        <v>N05B</v>
      </c>
      <c r="E214" cm="1">
        <f t="array" ref="E214">INDEX(salesmonthly!$B$2:$I$5000, INT((ROW()-2)/8)+1, MOD(ROW()-2,8)+1)</f>
        <v>250</v>
      </c>
    </row>
    <row r="215" spans="1:5" x14ac:dyDescent="0.35">
      <c r="A215" s="1" cm="1">
        <f t="array" ref="A215">INDEX(salesmonthly!$A$2:$A$5000, INT((ROW()-2)/8)+1)</f>
        <v>42460</v>
      </c>
      <c r="B215" cm="1">
        <f t="array" ref="B215">INDEX(salesmonthly!$J$2:$J$5000, INT((ROW()-2)/8)+1)</f>
        <v>2016</v>
      </c>
      <c r="C215" cm="1">
        <f t="array" ref="C215">INDEX(salesmonthly!$K$2:$K$5000, INT((ROW()-2)/8)+1)</f>
        <v>3</v>
      </c>
      <c r="D215" t="str" cm="1">
        <f t="array" ref="D215">INDEX(salesmonthly!$B$1:$I$1, MOD(ROW()-2,8)+1)</f>
        <v>N05C</v>
      </c>
      <c r="E215" cm="1">
        <f t="array" ref="E215">INDEX(salesmonthly!$B$2:$I$5000, INT((ROW()-2)/8)+1, MOD(ROW()-2,8)+1)</f>
        <v>13</v>
      </c>
    </row>
    <row r="216" spans="1:5" x14ac:dyDescent="0.35">
      <c r="A216" s="1" cm="1">
        <f t="array" ref="A216">INDEX(salesmonthly!$A$2:$A$5000, INT((ROW()-2)/8)+1)</f>
        <v>42460</v>
      </c>
      <c r="B216" cm="1">
        <f t="array" ref="B216">INDEX(salesmonthly!$J$2:$J$5000, INT((ROW()-2)/8)+1)</f>
        <v>2016</v>
      </c>
      <c r="C216" cm="1">
        <f t="array" ref="C216">INDEX(salesmonthly!$K$2:$K$5000, INT((ROW()-2)/8)+1)</f>
        <v>3</v>
      </c>
      <c r="D216" t="str" cm="1">
        <f t="array" ref="D216">INDEX(salesmonthly!$B$1:$I$1, MOD(ROW()-2,8)+1)</f>
        <v>R03</v>
      </c>
      <c r="E216" cm="1">
        <f t="array" ref="E216">INDEX(salesmonthly!$B$2:$I$5000, INT((ROW()-2)/8)+1, MOD(ROW()-2,8)+1)</f>
        <v>253</v>
      </c>
    </row>
    <row r="217" spans="1:5" x14ac:dyDescent="0.35">
      <c r="A217" s="1" cm="1">
        <f t="array" ref="A217">INDEX(salesmonthly!$A$2:$A$5000, INT((ROW()-2)/8)+1)</f>
        <v>42460</v>
      </c>
      <c r="B217" cm="1">
        <f t="array" ref="B217">INDEX(salesmonthly!$J$2:$J$5000, INT((ROW()-2)/8)+1)</f>
        <v>2016</v>
      </c>
      <c r="C217" cm="1">
        <f t="array" ref="C217">INDEX(salesmonthly!$K$2:$K$5000, INT((ROW()-2)/8)+1)</f>
        <v>3</v>
      </c>
      <c r="D217" t="str" cm="1">
        <f t="array" ref="D217">INDEX(salesmonthly!$B$1:$I$1, MOD(ROW()-2,8)+1)</f>
        <v>R06</v>
      </c>
      <c r="E217" cm="1">
        <f t="array" ref="E217">INDEX(salesmonthly!$B$2:$I$5000, INT((ROW()-2)/8)+1, MOD(ROW()-2,8)+1)</f>
        <v>97.84</v>
      </c>
    </row>
    <row r="218" spans="1:5" x14ac:dyDescent="0.35">
      <c r="A218" s="1" cm="1">
        <f t="array" ref="A218">INDEX(salesmonthly!$A$2:$A$5000, INT((ROW()-2)/8)+1)</f>
        <v>42490</v>
      </c>
      <c r="B218" cm="1">
        <f t="array" ref="B218">INDEX(salesmonthly!$J$2:$J$5000, INT((ROW()-2)/8)+1)</f>
        <v>2016</v>
      </c>
      <c r="C218" cm="1">
        <f t="array" ref="C218">INDEX(salesmonthly!$K$2:$K$5000, INT((ROW()-2)/8)+1)</f>
        <v>4</v>
      </c>
      <c r="D218" t="str" cm="1">
        <f t="array" ref="D218">INDEX(salesmonthly!$B$1:$I$1, MOD(ROW()-2,8)+1)</f>
        <v>M01AB</v>
      </c>
      <c r="E218" t="str" cm="1">
        <f t="array" ref="E218">INDEX(salesmonthly!$B$2:$I$5000, INT((ROW()-2)/8)+1, MOD(ROW()-2,8)+1)</f>
        <v>166.6100000000001</v>
      </c>
    </row>
    <row r="219" spans="1:5" x14ac:dyDescent="0.35">
      <c r="A219" s="1" cm="1">
        <f t="array" ref="A219">INDEX(salesmonthly!$A$2:$A$5000, INT((ROW()-2)/8)+1)</f>
        <v>42490</v>
      </c>
      <c r="B219" cm="1">
        <f t="array" ref="B219">INDEX(salesmonthly!$J$2:$J$5000, INT((ROW()-2)/8)+1)</f>
        <v>2016</v>
      </c>
      <c r="C219" cm="1">
        <f t="array" ref="C219">INDEX(salesmonthly!$K$2:$K$5000, INT((ROW()-2)/8)+1)</f>
        <v>4</v>
      </c>
      <c r="D219" t="str" cm="1">
        <f t="array" ref="D219">INDEX(salesmonthly!$B$1:$I$1, MOD(ROW()-2,8)+1)</f>
        <v>M01AE</v>
      </c>
      <c r="E219" t="str" cm="1">
        <f t="array" ref="E219">INDEX(salesmonthly!$B$2:$I$5000, INT((ROW()-2)/8)+1, MOD(ROW()-2,8)+1)</f>
        <v>146.52600000000007</v>
      </c>
    </row>
    <row r="220" spans="1:5" x14ac:dyDescent="0.35">
      <c r="A220" s="1" cm="1">
        <f t="array" ref="A220">INDEX(salesmonthly!$A$2:$A$5000, INT((ROW()-2)/8)+1)</f>
        <v>42490</v>
      </c>
      <c r="B220" cm="1">
        <f t="array" ref="B220">INDEX(salesmonthly!$J$2:$J$5000, INT((ROW()-2)/8)+1)</f>
        <v>2016</v>
      </c>
      <c r="C220" cm="1">
        <f t="array" ref="C220">INDEX(salesmonthly!$K$2:$K$5000, INT((ROW()-2)/8)+1)</f>
        <v>4</v>
      </c>
      <c r="D220" t="str" cm="1">
        <f t="array" ref="D220">INDEX(salesmonthly!$B$1:$I$1, MOD(ROW()-2,8)+1)</f>
        <v>N02BA</v>
      </c>
      <c r="E220" cm="1">
        <f t="array" ref="E220">INDEX(salesmonthly!$B$2:$I$5000, INT((ROW()-2)/8)+1, MOD(ROW()-2,8)+1)</f>
        <v>147.69999999999999</v>
      </c>
    </row>
    <row r="221" spans="1:5" x14ac:dyDescent="0.35">
      <c r="A221" s="1" cm="1">
        <f t="array" ref="A221">INDEX(salesmonthly!$A$2:$A$5000, INT((ROW()-2)/8)+1)</f>
        <v>42490</v>
      </c>
      <c r="B221" cm="1">
        <f t="array" ref="B221">INDEX(salesmonthly!$J$2:$J$5000, INT((ROW()-2)/8)+1)</f>
        <v>2016</v>
      </c>
      <c r="C221" cm="1">
        <f t="array" ref="C221">INDEX(salesmonthly!$K$2:$K$5000, INT((ROW()-2)/8)+1)</f>
        <v>4</v>
      </c>
      <c r="D221" t="str" cm="1">
        <f t="array" ref="D221">INDEX(salesmonthly!$B$1:$I$1, MOD(ROW()-2,8)+1)</f>
        <v>N02BE</v>
      </c>
      <c r="E221" t="str" cm="1">
        <f t="array" ref="E221">INDEX(salesmonthly!$B$2:$I$5000, INT((ROW()-2)/8)+1, MOD(ROW()-2,8)+1)</f>
        <v>998.3370000000003</v>
      </c>
    </row>
    <row r="222" spans="1:5" x14ac:dyDescent="0.35">
      <c r="A222" s="1" cm="1">
        <f t="array" ref="A222">INDEX(salesmonthly!$A$2:$A$5000, INT((ROW()-2)/8)+1)</f>
        <v>42490</v>
      </c>
      <c r="B222" cm="1">
        <f t="array" ref="B222">INDEX(salesmonthly!$J$2:$J$5000, INT((ROW()-2)/8)+1)</f>
        <v>2016</v>
      </c>
      <c r="C222" cm="1">
        <f t="array" ref="C222">INDEX(salesmonthly!$K$2:$K$5000, INT((ROW()-2)/8)+1)</f>
        <v>4</v>
      </c>
      <c r="D222" t="str" cm="1">
        <f t="array" ref="D222">INDEX(salesmonthly!$B$1:$I$1, MOD(ROW()-2,8)+1)</f>
        <v>N05B</v>
      </c>
      <c r="E222" cm="1">
        <f t="array" ref="E222">INDEX(salesmonthly!$B$2:$I$5000, INT((ROW()-2)/8)+1, MOD(ROW()-2,8)+1)</f>
        <v>318</v>
      </c>
    </row>
    <row r="223" spans="1:5" x14ac:dyDescent="0.35">
      <c r="A223" s="1" cm="1">
        <f t="array" ref="A223">INDEX(salesmonthly!$A$2:$A$5000, INT((ROW()-2)/8)+1)</f>
        <v>42490</v>
      </c>
      <c r="B223" cm="1">
        <f t="array" ref="B223">INDEX(salesmonthly!$J$2:$J$5000, INT((ROW()-2)/8)+1)</f>
        <v>2016</v>
      </c>
      <c r="C223" cm="1">
        <f t="array" ref="C223">INDEX(salesmonthly!$K$2:$K$5000, INT((ROW()-2)/8)+1)</f>
        <v>4</v>
      </c>
      <c r="D223" t="str" cm="1">
        <f t="array" ref="D223">INDEX(salesmonthly!$B$1:$I$1, MOD(ROW()-2,8)+1)</f>
        <v>N05C</v>
      </c>
      <c r="E223" cm="1">
        <f t="array" ref="E223">INDEX(salesmonthly!$B$2:$I$5000, INT((ROW()-2)/8)+1, MOD(ROW()-2,8)+1)</f>
        <v>18</v>
      </c>
    </row>
    <row r="224" spans="1:5" x14ac:dyDescent="0.35">
      <c r="A224" s="1" cm="1">
        <f t="array" ref="A224">INDEX(salesmonthly!$A$2:$A$5000, INT((ROW()-2)/8)+1)</f>
        <v>42490</v>
      </c>
      <c r="B224" cm="1">
        <f t="array" ref="B224">INDEX(salesmonthly!$J$2:$J$5000, INT((ROW()-2)/8)+1)</f>
        <v>2016</v>
      </c>
      <c r="C224" cm="1">
        <f t="array" ref="C224">INDEX(salesmonthly!$K$2:$K$5000, INT((ROW()-2)/8)+1)</f>
        <v>4</v>
      </c>
      <c r="D224" t="str" cm="1">
        <f t="array" ref="D224">INDEX(salesmonthly!$B$1:$I$1, MOD(ROW()-2,8)+1)</f>
        <v>R03</v>
      </c>
      <c r="E224" cm="1">
        <f t="array" ref="E224">INDEX(salesmonthly!$B$2:$I$5000, INT((ROW()-2)/8)+1, MOD(ROW()-2,8)+1)</f>
        <v>216</v>
      </c>
    </row>
    <row r="225" spans="1:5" x14ac:dyDescent="0.35">
      <c r="A225" s="1" cm="1">
        <f t="array" ref="A225">INDEX(salesmonthly!$A$2:$A$5000, INT((ROW()-2)/8)+1)</f>
        <v>42490</v>
      </c>
      <c r="B225" cm="1">
        <f t="array" ref="B225">INDEX(salesmonthly!$J$2:$J$5000, INT((ROW()-2)/8)+1)</f>
        <v>2016</v>
      </c>
      <c r="C225" cm="1">
        <f t="array" ref="C225">INDEX(salesmonthly!$K$2:$K$5000, INT((ROW()-2)/8)+1)</f>
        <v>4</v>
      </c>
      <c r="D225" t="str" cm="1">
        <f t="array" ref="D225">INDEX(salesmonthly!$B$1:$I$1, MOD(ROW()-2,8)+1)</f>
        <v>R06</v>
      </c>
      <c r="E225" t="str" cm="1">
        <f t="array" ref="E225">INDEX(salesmonthly!$B$2:$I$5000, INT((ROW()-2)/8)+1, MOD(ROW()-2,8)+1)</f>
        <v>162.39999999999998</v>
      </c>
    </row>
    <row r="226" spans="1:5" x14ac:dyDescent="0.35">
      <c r="A226" s="1" cm="1">
        <f t="array" ref="A226">INDEX(salesmonthly!$A$2:$A$5000, INT((ROW()-2)/8)+1)</f>
        <v>42521</v>
      </c>
      <c r="B226" cm="1">
        <f t="array" ref="B226">INDEX(salesmonthly!$J$2:$J$5000, INT((ROW()-2)/8)+1)</f>
        <v>2016</v>
      </c>
      <c r="C226" cm="1">
        <f t="array" ref="C226">INDEX(salesmonthly!$K$2:$K$5000, INT((ROW()-2)/8)+1)</f>
        <v>5</v>
      </c>
      <c r="D226" t="str" cm="1">
        <f t="array" ref="D226">INDEX(salesmonthly!$B$1:$I$1, MOD(ROW()-2,8)+1)</f>
        <v>M01AB</v>
      </c>
      <c r="E226" t="str" cm="1">
        <f t="array" ref="E226">INDEX(salesmonthly!$B$2:$I$5000, INT((ROW()-2)/8)+1, MOD(ROW()-2,8)+1)</f>
        <v>167.36000000000007</v>
      </c>
    </row>
    <row r="227" spans="1:5" x14ac:dyDescent="0.35">
      <c r="A227" s="1" cm="1">
        <f t="array" ref="A227">INDEX(salesmonthly!$A$2:$A$5000, INT((ROW()-2)/8)+1)</f>
        <v>42521</v>
      </c>
      <c r="B227" cm="1">
        <f t="array" ref="B227">INDEX(salesmonthly!$J$2:$J$5000, INT((ROW()-2)/8)+1)</f>
        <v>2016</v>
      </c>
      <c r="C227" cm="1">
        <f t="array" ref="C227">INDEX(salesmonthly!$K$2:$K$5000, INT((ROW()-2)/8)+1)</f>
        <v>5</v>
      </c>
      <c r="D227" t="str" cm="1">
        <f t="array" ref="D227">INDEX(salesmonthly!$B$1:$I$1, MOD(ROW()-2,8)+1)</f>
        <v>M01AE</v>
      </c>
      <c r="E227" t="str" cm="1">
        <f t="array" ref="E227">INDEX(salesmonthly!$B$2:$I$5000, INT((ROW()-2)/8)+1, MOD(ROW()-2,8)+1)</f>
        <v>120.86099999999996</v>
      </c>
    </row>
    <row r="228" spans="1:5" x14ac:dyDescent="0.35">
      <c r="A228" s="1" cm="1">
        <f t="array" ref="A228">INDEX(salesmonthly!$A$2:$A$5000, INT((ROW()-2)/8)+1)</f>
        <v>42521</v>
      </c>
      <c r="B228" cm="1">
        <f t="array" ref="B228">INDEX(salesmonthly!$J$2:$J$5000, INT((ROW()-2)/8)+1)</f>
        <v>2016</v>
      </c>
      <c r="C228" cm="1">
        <f t="array" ref="C228">INDEX(salesmonthly!$K$2:$K$5000, INT((ROW()-2)/8)+1)</f>
        <v>5</v>
      </c>
      <c r="D228" t="str" cm="1">
        <f t="array" ref="D228">INDEX(salesmonthly!$B$1:$I$1, MOD(ROW()-2,8)+1)</f>
        <v>N02BA</v>
      </c>
      <c r="E228" t="str" cm="1">
        <f t="array" ref="E228">INDEX(salesmonthly!$B$2:$I$5000, INT((ROW()-2)/8)+1, MOD(ROW()-2,8)+1)</f>
        <v>130.54999999999995</v>
      </c>
    </row>
    <row r="229" spans="1:5" x14ac:dyDescent="0.35">
      <c r="A229" s="1" cm="1">
        <f t="array" ref="A229">INDEX(salesmonthly!$A$2:$A$5000, INT((ROW()-2)/8)+1)</f>
        <v>42521</v>
      </c>
      <c r="B229" cm="1">
        <f t="array" ref="B229">INDEX(salesmonthly!$J$2:$J$5000, INT((ROW()-2)/8)+1)</f>
        <v>2016</v>
      </c>
      <c r="C229" cm="1">
        <f t="array" ref="C229">INDEX(salesmonthly!$K$2:$K$5000, INT((ROW()-2)/8)+1)</f>
        <v>5</v>
      </c>
      <c r="D229" t="str" cm="1">
        <f t="array" ref="D229">INDEX(salesmonthly!$B$1:$I$1, MOD(ROW()-2,8)+1)</f>
        <v>N02BE</v>
      </c>
      <c r="E229" t="str" cm="1">
        <f t="array" ref="E229">INDEX(salesmonthly!$B$2:$I$5000, INT((ROW()-2)/8)+1, MOD(ROW()-2,8)+1)</f>
        <v>997.1500000000003</v>
      </c>
    </row>
    <row r="230" spans="1:5" x14ac:dyDescent="0.35">
      <c r="A230" s="1" cm="1">
        <f t="array" ref="A230">INDEX(salesmonthly!$A$2:$A$5000, INT((ROW()-2)/8)+1)</f>
        <v>42521</v>
      </c>
      <c r="B230" cm="1">
        <f t="array" ref="B230">INDEX(salesmonthly!$J$2:$J$5000, INT((ROW()-2)/8)+1)</f>
        <v>2016</v>
      </c>
      <c r="C230" cm="1">
        <f t="array" ref="C230">INDEX(salesmonthly!$K$2:$K$5000, INT((ROW()-2)/8)+1)</f>
        <v>5</v>
      </c>
      <c r="D230" t="str" cm="1">
        <f t="array" ref="D230">INDEX(salesmonthly!$B$1:$I$1, MOD(ROW()-2,8)+1)</f>
        <v>N05B</v>
      </c>
      <c r="E230" cm="1">
        <f t="array" ref="E230">INDEX(salesmonthly!$B$2:$I$5000, INT((ROW()-2)/8)+1, MOD(ROW()-2,8)+1)</f>
        <v>275</v>
      </c>
    </row>
    <row r="231" spans="1:5" x14ac:dyDescent="0.35">
      <c r="A231" s="1" cm="1">
        <f t="array" ref="A231">INDEX(salesmonthly!$A$2:$A$5000, INT((ROW()-2)/8)+1)</f>
        <v>42521</v>
      </c>
      <c r="B231" cm="1">
        <f t="array" ref="B231">INDEX(salesmonthly!$J$2:$J$5000, INT((ROW()-2)/8)+1)</f>
        <v>2016</v>
      </c>
      <c r="C231" cm="1">
        <f t="array" ref="C231">INDEX(salesmonthly!$K$2:$K$5000, INT((ROW()-2)/8)+1)</f>
        <v>5</v>
      </c>
      <c r="D231" t="str" cm="1">
        <f t="array" ref="D231">INDEX(salesmonthly!$B$1:$I$1, MOD(ROW()-2,8)+1)</f>
        <v>N05C</v>
      </c>
      <c r="E231" cm="1">
        <f t="array" ref="E231">INDEX(salesmonthly!$B$2:$I$5000, INT((ROW()-2)/8)+1, MOD(ROW()-2,8)+1)</f>
        <v>18</v>
      </c>
    </row>
    <row r="232" spans="1:5" x14ac:dyDescent="0.35">
      <c r="A232" s="1" cm="1">
        <f t="array" ref="A232">INDEX(salesmonthly!$A$2:$A$5000, INT((ROW()-2)/8)+1)</f>
        <v>42521</v>
      </c>
      <c r="B232" cm="1">
        <f t="array" ref="B232">INDEX(salesmonthly!$J$2:$J$5000, INT((ROW()-2)/8)+1)</f>
        <v>2016</v>
      </c>
      <c r="C232" cm="1">
        <f t="array" ref="C232">INDEX(salesmonthly!$K$2:$K$5000, INT((ROW()-2)/8)+1)</f>
        <v>5</v>
      </c>
      <c r="D232" t="str" cm="1">
        <f t="array" ref="D232">INDEX(salesmonthly!$B$1:$I$1, MOD(ROW()-2,8)+1)</f>
        <v>R03</v>
      </c>
      <c r="E232" cm="1">
        <f t="array" ref="E232">INDEX(salesmonthly!$B$2:$I$5000, INT((ROW()-2)/8)+1, MOD(ROW()-2,8)+1)</f>
        <v>131</v>
      </c>
    </row>
    <row r="233" spans="1:5" x14ac:dyDescent="0.35">
      <c r="A233" s="1" cm="1">
        <f t="array" ref="A233">INDEX(salesmonthly!$A$2:$A$5000, INT((ROW()-2)/8)+1)</f>
        <v>42521</v>
      </c>
      <c r="B233" cm="1">
        <f t="array" ref="B233">INDEX(salesmonthly!$J$2:$J$5000, INT((ROW()-2)/8)+1)</f>
        <v>2016</v>
      </c>
      <c r="C233" cm="1">
        <f t="array" ref="C233">INDEX(salesmonthly!$K$2:$K$5000, INT((ROW()-2)/8)+1)</f>
        <v>5</v>
      </c>
      <c r="D233" t="str" cm="1">
        <f t="array" ref="D233">INDEX(salesmonthly!$B$1:$I$1, MOD(ROW()-2,8)+1)</f>
        <v>R06</v>
      </c>
      <c r="E233" t="str" cm="1">
        <f t="array" ref="E233">INDEX(salesmonthly!$B$2:$I$5000, INT((ROW()-2)/8)+1, MOD(ROW()-2,8)+1)</f>
        <v>137.10000000000002</v>
      </c>
    </row>
    <row r="234" spans="1:5" x14ac:dyDescent="0.35">
      <c r="A234" s="1" cm="1">
        <f t="array" ref="A234">INDEX(salesmonthly!$A$2:$A$5000, INT((ROW()-2)/8)+1)</f>
        <v>42551</v>
      </c>
      <c r="B234" cm="1">
        <f t="array" ref="B234">INDEX(salesmonthly!$J$2:$J$5000, INT((ROW()-2)/8)+1)</f>
        <v>2016</v>
      </c>
      <c r="C234" cm="1">
        <f t="array" ref="C234">INDEX(salesmonthly!$K$2:$K$5000, INT((ROW()-2)/8)+1)</f>
        <v>6</v>
      </c>
      <c r="D234" t="str" cm="1">
        <f t="array" ref="D234">INDEX(salesmonthly!$B$1:$I$1, MOD(ROW()-2,8)+1)</f>
        <v>M01AB</v>
      </c>
      <c r="E234" t="str" cm="1">
        <f t="array" ref="E234">INDEX(salesmonthly!$B$2:$I$5000, INT((ROW()-2)/8)+1, MOD(ROW()-2,8)+1)</f>
        <v>169.67000000000002</v>
      </c>
    </row>
    <row r="235" spans="1:5" x14ac:dyDescent="0.35">
      <c r="A235" s="1" cm="1">
        <f t="array" ref="A235">INDEX(salesmonthly!$A$2:$A$5000, INT((ROW()-2)/8)+1)</f>
        <v>42551</v>
      </c>
      <c r="B235" cm="1">
        <f t="array" ref="B235">INDEX(salesmonthly!$J$2:$J$5000, INT((ROW()-2)/8)+1)</f>
        <v>2016</v>
      </c>
      <c r="C235" cm="1">
        <f t="array" ref="C235">INDEX(salesmonthly!$K$2:$K$5000, INT((ROW()-2)/8)+1)</f>
        <v>6</v>
      </c>
      <c r="D235" t="str" cm="1">
        <f t="array" ref="D235">INDEX(salesmonthly!$B$1:$I$1, MOD(ROW()-2,8)+1)</f>
        <v>M01AE</v>
      </c>
      <c r="E235" cm="1">
        <f t="array" ref="E235">INDEX(salesmonthly!$B$2:$I$5000, INT((ROW()-2)/8)+1, MOD(ROW()-2,8)+1)</f>
        <v>114.961</v>
      </c>
    </row>
    <row r="236" spans="1:5" x14ac:dyDescent="0.35">
      <c r="A236" s="1" cm="1">
        <f t="array" ref="A236">INDEX(salesmonthly!$A$2:$A$5000, INT((ROW()-2)/8)+1)</f>
        <v>42551</v>
      </c>
      <c r="B236" cm="1">
        <f t="array" ref="B236">INDEX(salesmonthly!$J$2:$J$5000, INT((ROW()-2)/8)+1)</f>
        <v>2016</v>
      </c>
      <c r="C236" cm="1">
        <f t="array" ref="C236">INDEX(salesmonthly!$K$2:$K$5000, INT((ROW()-2)/8)+1)</f>
        <v>6</v>
      </c>
      <c r="D236" t="str" cm="1">
        <f t="array" ref="D236">INDEX(salesmonthly!$B$1:$I$1, MOD(ROW()-2,8)+1)</f>
        <v>N02BA</v>
      </c>
      <c r="E236" cm="1">
        <f t="array" ref="E236">INDEX(salesmonthly!$B$2:$I$5000, INT((ROW()-2)/8)+1, MOD(ROW()-2,8)+1)</f>
        <v>117.75</v>
      </c>
    </row>
    <row r="237" spans="1:5" x14ac:dyDescent="0.35">
      <c r="A237" s="1" cm="1">
        <f t="array" ref="A237">INDEX(salesmonthly!$A$2:$A$5000, INT((ROW()-2)/8)+1)</f>
        <v>42551</v>
      </c>
      <c r="B237" cm="1">
        <f t="array" ref="B237">INDEX(salesmonthly!$J$2:$J$5000, INT((ROW()-2)/8)+1)</f>
        <v>2016</v>
      </c>
      <c r="C237" cm="1">
        <f t="array" ref="C237">INDEX(salesmonthly!$K$2:$K$5000, INT((ROW()-2)/8)+1)</f>
        <v>6</v>
      </c>
      <c r="D237" t="str" cm="1">
        <f t="array" ref="D237">INDEX(salesmonthly!$B$1:$I$1, MOD(ROW()-2,8)+1)</f>
        <v>N02BE</v>
      </c>
      <c r="E237" cm="1">
        <f t="array" ref="E237">INDEX(salesmonthly!$B$2:$I$5000, INT((ROW()-2)/8)+1, MOD(ROW()-2,8)+1)</f>
        <v>760.05</v>
      </c>
    </row>
    <row r="238" spans="1:5" x14ac:dyDescent="0.35">
      <c r="A238" s="1" cm="1">
        <f t="array" ref="A238">INDEX(salesmonthly!$A$2:$A$5000, INT((ROW()-2)/8)+1)</f>
        <v>42551</v>
      </c>
      <c r="B238" cm="1">
        <f t="array" ref="B238">INDEX(salesmonthly!$J$2:$J$5000, INT((ROW()-2)/8)+1)</f>
        <v>2016</v>
      </c>
      <c r="C238" cm="1">
        <f t="array" ref="C238">INDEX(salesmonthly!$K$2:$K$5000, INT((ROW()-2)/8)+1)</f>
        <v>6</v>
      </c>
      <c r="D238" t="str" cm="1">
        <f t="array" ref="D238">INDEX(salesmonthly!$B$1:$I$1, MOD(ROW()-2,8)+1)</f>
        <v>N05B</v>
      </c>
      <c r="E238" cm="1">
        <f t="array" ref="E238">INDEX(salesmonthly!$B$2:$I$5000, INT((ROW()-2)/8)+1, MOD(ROW()-2,8)+1)</f>
        <v>311</v>
      </c>
    </row>
    <row r="239" spans="1:5" x14ac:dyDescent="0.35">
      <c r="A239" s="1" cm="1">
        <f t="array" ref="A239">INDEX(salesmonthly!$A$2:$A$5000, INT((ROW()-2)/8)+1)</f>
        <v>42551</v>
      </c>
      <c r="B239" cm="1">
        <f t="array" ref="B239">INDEX(salesmonthly!$J$2:$J$5000, INT((ROW()-2)/8)+1)</f>
        <v>2016</v>
      </c>
      <c r="C239" cm="1">
        <f t="array" ref="C239">INDEX(salesmonthly!$K$2:$K$5000, INT((ROW()-2)/8)+1)</f>
        <v>6</v>
      </c>
      <c r="D239" t="str" cm="1">
        <f t="array" ref="D239">INDEX(salesmonthly!$B$1:$I$1, MOD(ROW()-2,8)+1)</f>
        <v>N05C</v>
      </c>
      <c r="E239" cm="1">
        <f t="array" ref="E239">INDEX(salesmonthly!$B$2:$I$5000, INT((ROW()-2)/8)+1, MOD(ROW()-2,8)+1)</f>
        <v>20</v>
      </c>
    </row>
    <row r="240" spans="1:5" x14ac:dyDescent="0.35">
      <c r="A240" s="1" cm="1">
        <f t="array" ref="A240">INDEX(salesmonthly!$A$2:$A$5000, INT((ROW()-2)/8)+1)</f>
        <v>42551</v>
      </c>
      <c r="B240" cm="1">
        <f t="array" ref="B240">INDEX(salesmonthly!$J$2:$J$5000, INT((ROW()-2)/8)+1)</f>
        <v>2016</v>
      </c>
      <c r="C240" cm="1">
        <f t="array" ref="C240">INDEX(salesmonthly!$K$2:$K$5000, INT((ROW()-2)/8)+1)</f>
        <v>6</v>
      </c>
      <c r="D240" t="str" cm="1">
        <f t="array" ref="D240">INDEX(salesmonthly!$B$1:$I$1, MOD(ROW()-2,8)+1)</f>
        <v>R03</v>
      </c>
      <c r="E240" cm="1">
        <f t="array" ref="E240">INDEX(salesmonthly!$B$2:$I$5000, INT((ROW()-2)/8)+1, MOD(ROW()-2,8)+1)</f>
        <v>127</v>
      </c>
    </row>
    <row r="241" spans="1:5" x14ac:dyDescent="0.35">
      <c r="A241" s="1" cm="1">
        <f t="array" ref="A241">INDEX(salesmonthly!$A$2:$A$5000, INT((ROW()-2)/8)+1)</f>
        <v>42551</v>
      </c>
      <c r="B241" cm="1">
        <f t="array" ref="B241">INDEX(salesmonthly!$J$2:$J$5000, INT((ROW()-2)/8)+1)</f>
        <v>2016</v>
      </c>
      <c r="C241" cm="1">
        <f t="array" ref="C241">INDEX(salesmonthly!$K$2:$K$5000, INT((ROW()-2)/8)+1)</f>
        <v>6</v>
      </c>
      <c r="D241" t="str" cm="1">
        <f t="array" ref="D241">INDEX(salesmonthly!$B$1:$I$1, MOD(ROW()-2,8)+1)</f>
        <v>R06</v>
      </c>
      <c r="E241" cm="1">
        <f t="array" ref="E241">INDEX(salesmonthly!$B$2:$I$5000, INT((ROW()-2)/8)+1, MOD(ROW()-2,8)+1)</f>
        <v>134.80000000000001</v>
      </c>
    </row>
    <row r="242" spans="1:5" x14ac:dyDescent="0.35">
      <c r="A242" s="1" cm="1">
        <f t="array" ref="A242">INDEX(salesmonthly!$A$2:$A$5000, INT((ROW()-2)/8)+1)</f>
        <v>42582</v>
      </c>
      <c r="B242" cm="1">
        <f t="array" ref="B242">INDEX(salesmonthly!$J$2:$J$5000, INT((ROW()-2)/8)+1)</f>
        <v>2016</v>
      </c>
      <c r="C242" cm="1">
        <f t="array" ref="C242">INDEX(salesmonthly!$K$2:$K$5000, INT((ROW()-2)/8)+1)</f>
        <v>7</v>
      </c>
      <c r="D242" t="str" cm="1">
        <f t="array" ref="D242">INDEX(salesmonthly!$B$1:$I$1, MOD(ROW()-2,8)+1)</f>
        <v>M01AB</v>
      </c>
      <c r="E242" t="str" cm="1">
        <f t="array" ref="E242">INDEX(salesmonthly!$B$2:$I$5000, INT((ROW()-2)/8)+1, MOD(ROW()-2,8)+1)</f>
        <v>203.97000000000017</v>
      </c>
    </row>
    <row r="243" spans="1:5" x14ac:dyDescent="0.35">
      <c r="A243" s="1" cm="1">
        <f t="array" ref="A243">INDEX(salesmonthly!$A$2:$A$5000, INT((ROW()-2)/8)+1)</f>
        <v>42582</v>
      </c>
      <c r="B243" cm="1">
        <f t="array" ref="B243">INDEX(salesmonthly!$J$2:$J$5000, INT((ROW()-2)/8)+1)</f>
        <v>2016</v>
      </c>
      <c r="C243" cm="1">
        <f t="array" ref="C243">INDEX(salesmonthly!$K$2:$K$5000, INT((ROW()-2)/8)+1)</f>
        <v>7</v>
      </c>
      <c r="D243" t="str" cm="1">
        <f t="array" ref="D243">INDEX(salesmonthly!$B$1:$I$1, MOD(ROW()-2,8)+1)</f>
        <v>M01AE</v>
      </c>
      <c r="E243" t="str" cm="1">
        <f t="array" ref="E243">INDEX(salesmonthly!$B$2:$I$5000, INT((ROW()-2)/8)+1, MOD(ROW()-2,8)+1)</f>
        <v>141.01900000000003</v>
      </c>
    </row>
    <row r="244" spans="1:5" x14ac:dyDescent="0.35">
      <c r="A244" s="1" cm="1">
        <f t="array" ref="A244">INDEX(salesmonthly!$A$2:$A$5000, INT((ROW()-2)/8)+1)</f>
        <v>42582</v>
      </c>
      <c r="B244" cm="1">
        <f t="array" ref="B244">INDEX(salesmonthly!$J$2:$J$5000, INT((ROW()-2)/8)+1)</f>
        <v>2016</v>
      </c>
      <c r="C244" cm="1">
        <f t="array" ref="C244">INDEX(salesmonthly!$K$2:$K$5000, INT((ROW()-2)/8)+1)</f>
        <v>7</v>
      </c>
      <c r="D244" t="str" cm="1">
        <f t="array" ref="D244">INDEX(salesmonthly!$B$1:$I$1, MOD(ROW()-2,8)+1)</f>
        <v>N02BA</v>
      </c>
      <c r="E244" t="str" cm="1">
        <f t="array" ref="E244">INDEX(salesmonthly!$B$2:$I$5000, INT((ROW()-2)/8)+1, MOD(ROW()-2,8)+1)</f>
        <v>137.89999999999998</v>
      </c>
    </row>
    <row r="245" spans="1:5" x14ac:dyDescent="0.35">
      <c r="A245" s="1" cm="1">
        <f t="array" ref="A245">INDEX(salesmonthly!$A$2:$A$5000, INT((ROW()-2)/8)+1)</f>
        <v>42582</v>
      </c>
      <c r="B245" cm="1">
        <f t="array" ref="B245">INDEX(salesmonthly!$J$2:$J$5000, INT((ROW()-2)/8)+1)</f>
        <v>2016</v>
      </c>
      <c r="C245" cm="1">
        <f t="array" ref="C245">INDEX(salesmonthly!$K$2:$K$5000, INT((ROW()-2)/8)+1)</f>
        <v>7</v>
      </c>
      <c r="D245" t="str" cm="1">
        <f t="array" ref="D245">INDEX(salesmonthly!$B$1:$I$1, MOD(ROW()-2,8)+1)</f>
        <v>N02BE</v>
      </c>
      <c r="E245" t="str" cm="1">
        <f t="array" ref="E245">INDEX(salesmonthly!$B$2:$I$5000, INT((ROW()-2)/8)+1, MOD(ROW()-2,8)+1)</f>
        <v>652.3619999999999</v>
      </c>
    </row>
    <row r="246" spans="1:5" x14ac:dyDescent="0.35">
      <c r="A246" s="1" cm="1">
        <f t="array" ref="A246">INDEX(salesmonthly!$A$2:$A$5000, INT((ROW()-2)/8)+1)</f>
        <v>42582</v>
      </c>
      <c r="B246" cm="1">
        <f t="array" ref="B246">INDEX(salesmonthly!$J$2:$J$5000, INT((ROW()-2)/8)+1)</f>
        <v>2016</v>
      </c>
      <c r="C246" cm="1">
        <f t="array" ref="C246">INDEX(salesmonthly!$K$2:$K$5000, INT((ROW()-2)/8)+1)</f>
        <v>7</v>
      </c>
      <c r="D246" t="str" cm="1">
        <f t="array" ref="D246">INDEX(salesmonthly!$B$1:$I$1, MOD(ROW()-2,8)+1)</f>
        <v>N05B</v>
      </c>
      <c r="E246" cm="1">
        <f t="array" ref="E246">INDEX(salesmonthly!$B$2:$I$5000, INT((ROW()-2)/8)+1, MOD(ROW()-2,8)+1)</f>
        <v>240</v>
      </c>
    </row>
    <row r="247" spans="1:5" x14ac:dyDescent="0.35">
      <c r="A247" s="1" cm="1">
        <f t="array" ref="A247">INDEX(salesmonthly!$A$2:$A$5000, INT((ROW()-2)/8)+1)</f>
        <v>42582</v>
      </c>
      <c r="B247" cm="1">
        <f t="array" ref="B247">INDEX(salesmonthly!$J$2:$J$5000, INT((ROW()-2)/8)+1)</f>
        <v>2016</v>
      </c>
      <c r="C247" cm="1">
        <f t="array" ref="C247">INDEX(salesmonthly!$K$2:$K$5000, INT((ROW()-2)/8)+1)</f>
        <v>7</v>
      </c>
      <c r="D247" t="str" cm="1">
        <f t="array" ref="D247">INDEX(salesmonthly!$B$1:$I$1, MOD(ROW()-2,8)+1)</f>
        <v>N05C</v>
      </c>
      <c r="E247" cm="1">
        <f t="array" ref="E247">INDEX(salesmonthly!$B$2:$I$5000, INT((ROW()-2)/8)+1, MOD(ROW()-2,8)+1)</f>
        <v>8</v>
      </c>
    </row>
    <row r="248" spans="1:5" x14ac:dyDescent="0.35">
      <c r="A248" s="1" cm="1">
        <f t="array" ref="A248">INDEX(salesmonthly!$A$2:$A$5000, INT((ROW()-2)/8)+1)</f>
        <v>42582</v>
      </c>
      <c r="B248" cm="1">
        <f t="array" ref="B248">INDEX(salesmonthly!$J$2:$J$5000, INT((ROW()-2)/8)+1)</f>
        <v>2016</v>
      </c>
      <c r="C248" cm="1">
        <f t="array" ref="C248">INDEX(salesmonthly!$K$2:$K$5000, INT((ROW()-2)/8)+1)</f>
        <v>7</v>
      </c>
      <c r="D248" t="str" cm="1">
        <f t="array" ref="D248">INDEX(salesmonthly!$B$1:$I$1, MOD(ROW()-2,8)+1)</f>
        <v>R03</v>
      </c>
      <c r="E248" cm="1">
        <f t="array" ref="E248">INDEX(salesmonthly!$B$2:$I$5000, INT((ROW()-2)/8)+1, MOD(ROW()-2,8)+1)</f>
        <v>109</v>
      </c>
    </row>
    <row r="249" spans="1:5" x14ac:dyDescent="0.35">
      <c r="A249" s="1" cm="1">
        <f t="array" ref="A249">INDEX(salesmonthly!$A$2:$A$5000, INT((ROW()-2)/8)+1)</f>
        <v>42582</v>
      </c>
      <c r="B249" cm="1">
        <f t="array" ref="B249">INDEX(salesmonthly!$J$2:$J$5000, INT((ROW()-2)/8)+1)</f>
        <v>2016</v>
      </c>
      <c r="C249" cm="1">
        <f t="array" ref="C249">INDEX(salesmonthly!$K$2:$K$5000, INT((ROW()-2)/8)+1)</f>
        <v>7</v>
      </c>
      <c r="D249" t="str" cm="1">
        <f t="array" ref="D249">INDEX(salesmonthly!$B$1:$I$1, MOD(ROW()-2,8)+1)</f>
        <v>R06</v>
      </c>
      <c r="E249" cm="1">
        <f t="array" ref="E249">INDEX(salesmonthly!$B$2:$I$5000, INT((ROW()-2)/8)+1, MOD(ROW()-2,8)+1)</f>
        <v>116.83</v>
      </c>
    </row>
    <row r="250" spans="1:5" x14ac:dyDescent="0.35">
      <c r="A250" s="1" cm="1">
        <f t="array" ref="A250">INDEX(salesmonthly!$A$2:$A$5000, INT((ROW()-2)/8)+1)</f>
        <v>42613</v>
      </c>
      <c r="B250" cm="1">
        <f t="array" ref="B250">INDEX(salesmonthly!$J$2:$J$5000, INT((ROW()-2)/8)+1)</f>
        <v>2016</v>
      </c>
      <c r="C250" cm="1">
        <f t="array" ref="C250">INDEX(salesmonthly!$K$2:$K$5000, INT((ROW()-2)/8)+1)</f>
        <v>8</v>
      </c>
      <c r="D250" t="str" cm="1">
        <f t="array" ref="D250">INDEX(salesmonthly!$B$1:$I$1, MOD(ROW()-2,8)+1)</f>
        <v>M01AB</v>
      </c>
      <c r="E250" t="str" cm="1">
        <f t="array" ref="E250">INDEX(salesmonthly!$B$2:$I$5000, INT((ROW()-2)/8)+1, MOD(ROW()-2,8)+1)</f>
        <v>211.13000000000017</v>
      </c>
    </row>
    <row r="251" spans="1:5" x14ac:dyDescent="0.35">
      <c r="A251" s="1" cm="1">
        <f t="array" ref="A251">INDEX(salesmonthly!$A$2:$A$5000, INT((ROW()-2)/8)+1)</f>
        <v>42613</v>
      </c>
      <c r="B251" cm="1">
        <f t="array" ref="B251">INDEX(salesmonthly!$J$2:$J$5000, INT((ROW()-2)/8)+1)</f>
        <v>2016</v>
      </c>
      <c r="C251" cm="1">
        <f t="array" ref="C251">INDEX(salesmonthly!$K$2:$K$5000, INT((ROW()-2)/8)+1)</f>
        <v>8</v>
      </c>
      <c r="D251" t="str" cm="1">
        <f t="array" ref="D251">INDEX(salesmonthly!$B$1:$I$1, MOD(ROW()-2,8)+1)</f>
        <v>M01AE</v>
      </c>
      <c r="E251" t="str" cm="1">
        <f t="array" ref="E251">INDEX(salesmonthly!$B$2:$I$5000, INT((ROW()-2)/8)+1, MOD(ROW()-2,8)+1)</f>
        <v>114.37499999999997</v>
      </c>
    </row>
    <row r="252" spans="1:5" x14ac:dyDescent="0.35">
      <c r="A252" s="1" cm="1">
        <f t="array" ref="A252">INDEX(salesmonthly!$A$2:$A$5000, INT((ROW()-2)/8)+1)</f>
        <v>42613</v>
      </c>
      <c r="B252" cm="1">
        <f t="array" ref="B252">INDEX(salesmonthly!$J$2:$J$5000, INT((ROW()-2)/8)+1)</f>
        <v>2016</v>
      </c>
      <c r="C252" cm="1">
        <f t="array" ref="C252">INDEX(salesmonthly!$K$2:$K$5000, INT((ROW()-2)/8)+1)</f>
        <v>8</v>
      </c>
      <c r="D252" t="str" cm="1">
        <f t="array" ref="D252">INDEX(salesmonthly!$B$1:$I$1, MOD(ROW()-2,8)+1)</f>
        <v>N02BA</v>
      </c>
      <c r="E252" cm="1">
        <f t="array" ref="E252">INDEX(salesmonthly!$B$2:$I$5000, INT((ROW()-2)/8)+1, MOD(ROW()-2,8)+1)</f>
        <v>132.69999999999999</v>
      </c>
    </row>
    <row r="253" spans="1:5" x14ac:dyDescent="0.35">
      <c r="A253" s="1" cm="1">
        <f t="array" ref="A253">INDEX(salesmonthly!$A$2:$A$5000, INT((ROW()-2)/8)+1)</f>
        <v>42613</v>
      </c>
      <c r="B253" cm="1">
        <f t="array" ref="B253">INDEX(salesmonthly!$J$2:$J$5000, INT((ROW()-2)/8)+1)</f>
        <v>2016</v>
      </c>
      <c r="C253" cm="1">
        <f t="array" ref="C253">INDEX(salesmonthly!$K$2:$K$5000, INT((ROW()-2)/8)+1)</f>
        <v>8</v>
      </c>
      <c r="D253" t="str" cm="1">
        <f t="array" ref="D253">INDEX(salesmonthly!$B$1:$I$1, MOD(ROW()-2,8)+1)</f>
        <v>N02BE</v>
      </c>
      <c r="E253" t="str" cm="1">
        <f t="array" ref="E253">INDEX(salesmonthly!$B$2:$I$5000, INT((ROW()-2)/8)+1, MOD(ROW()-2,8)+1)</f>
        <v>753.0500000000002</v>
      </c>
    </row>
    <row r="254" spans="1:5" x14ac:dyDescent="0.35">
      <c r="A254" s="1" cm="1">
        <f t="array" ref="A254">INDEX(salesmonthly!$A$2:$A$5000, INT((ROW()-2)/8)+1)</f>
        <v>42613</v>
      </c>
      <c r="B254" cm="1">
        <f t="array" ref="B254">INDEX(salesmonthly!$J$2:$J$5000, INT((ROW()-2)/8)+1)</f>
        <v>2016</v>
      </c>
      <c r="C254" cm="1">
        <f t="array" ref="C254">INDEX(salesmonthly!$K$2:$K$5000, INT((ROW()-2)/8)+1)</f>
        <v>8</v>
      </c>
      <c r="D254" t="str" cm="1">
        <f t="array" ref="D254">INDEX(salesmonthly!$B$1:$I$1, MOD(ROW()-2,8)+1)</f>
        <v>N05B</v>
      </c>
      <c r="E254" cm="1">
        <f t="array" ref="E254">INDEX(salesmonthly!$B$2:$I$5000, INT((ROW()-2)/8)+1, MOD(ROW()-2,8)+1)</f>
        <v>275.5</v>
      </c>
    </row>
    <row r="255" spans="1:5" x14ac:dyDescent="0.35">
      <c r="A255" s="1" cm="1">
        <f t="array" ref="A255">INDEX(salesmonthly!$A$2:$A$5000, INT((ROW()-2)/8)+1)</f>
        <v>42613</v>
      </c>
      <c r="B255" cm="1">
        <f t="array" ref="B255">INDEX(salesmonthly!$J$2:$J$5000, INT((ROW()-2)/8)+1)</f>
        <v>2016</v>
      </c>
      <c r="C255" cm="1">
        <f t="array" ref="C255">INDEX(salesmonthly!$K$2:$K$5000, INT((ROW()-2)/8)+1)</f>
        <v>8</v>
      </c>
      <c r="D255" t="str" cm="1">
        <f t="array" ref="D255">INDEX(salesmonthly!$B$1:$I$1, MOD(ROW()-2,8)+1)</f>
        <v>N05C</v>
      </c>
      <c r="E255" cm="1">
        <f t="array" ref="E255">INDEX(salesmonthly!$B$2:$I$5000, INT((ROW()-2)/8)+1, MOD(ROW()-2,8)+1)</f>
        <v>12</v>
      </c>
    </row>
    <row r="256" spans="1:5" x14ac:dyDescent="0.35">
      <c r="A256" s="1" cm="1">
        <f t="array" ref="A256">INDEX(salesmonthly!$A$2:$A$5000, INT((ROW()-2)/8)+1)</f>
        <v>42613</v>
      </c>
      <c r="B256" cm="1">
        <f t="array" ref="B256">INDEX(salesmonthly!$J$2:$J$5000, INT((ROW()-2)/8)+1)</f>
        <v>2016</v>
      </c>
      <c r="C256" cm="1">
        <f t="array" ref="C256">INDEX(salesmonthly!$K$2:$K$5000, INT((ROW()-2)/8)+1)</f>
        <v>8</v>
      </c>
      <c r="D256" t="str" cm="1">
        <f t="array" ref="D256">INDEX(salesmonthly!$B$1:$I$1, MOD(ROW()-2,8)+1)</f>
        <v>R03</v>
      </c>
      <c r="E256" cm="1">
        <f t="array" ref="E256">INDEX(salesmonthly!$B$2:$I$5000, INT((ROW()-2)/8)+1, MOD(ROW()-2,8)+1)</f>
        <v>116</v>
      </c>
    </row>
    <row r="257" spans="1:5" x14ac:dyDescent="0.35">
      <c r="A257" s="1" cm="1">
        <f t="array" ref="A257">INDEX(salesmonthly!$A$2:$A$5000, INT((ROW()-2)/8)+1)</f>
        <v>42613</v>
      </c>
      <c r="B257" cm="1">
        <f t="array" ref="B257">INDEX(salesmonthly!$J$2:$J$5000, INT((ROW()-2)/8)+1)</f>
        <v>2016</v>
      </c>
      <c r="C257" cm="1">
        <f t="array" ref="C257">INDEX(salesmonthly!$K$2:$K$5000, INT((ROW()-2)/8)+1)</f>
        <v>8</v>
      </c>
      <c r="D257" t="str" cm="1">
        <f t="array" ref="D257">INDEX(salesmonthly!$B$1:$I$1, MOD(ROW()-2,8)+1)</f>
        <v>R06</v>
      </c>
      <c r="E257" cm="1">
        <f t="array" ref="E257">INDEX(salesmonthly!$B$2:$I$5000, INT((ROW()-2)/8)+1, MOD(ROW()-2,8)+1)</f>
        <v>85.3</v>
      </c>
    </row>
    <row r="258" spans="1:5" x14ac:dyDescent="0.35">
      <c r="A258" s="1" cm="1">
        <f t="array" ref="A258">INDEX(salesmonthly!$A$2:$A$5000, INT((ROW()-2)/8)+1)</f>
        <v>42643</v>
      </c>
      <c r="B258" cm="1">
        <f t="array" ref="B258">INDEX(salesmonthly!$J$2:$J$5000, INT((ROW()-2)/8)+1)</f>
        <v>2016</v>
      </c>
      <c r="C258" cm="1">
        <f t="array" ref="C258">INDEX(salesmonthly!$K$2:$K$5000, INT((ROW()-2)/8)+1)</f>
        <v>9</v>
      </c>
      <c r="D258" t="str" cm="1">
        <f t="array" ref="D258">INDEX(salesmonthly!$B$1:$I$1, MOD(ROW()-2,8)+1)</f>
        <v>M01AB</v>
      </c>
      <c r="E258" t="str" cm="1">
        <f t="array" ref="E258">INDEX(salesmonthly!$B$2:$I$5000, INT((ROW()-2)/8)+1, MOD(ROW()-2,8)+1)</f>
        <v>172.96000000000004</v>
      </c>
    </row>
    <row r="259" spans="1:5" x14ac:dyDescent="0.35">
      <c r="A259" s="1" cm="1">
        <f t="array" ref="A259">INDEX(salesmonthly!$A$2:$A$5000, INT((ROW()-2)/8)+1)</f>
        <v>42643</v>
      </c>
      <c r="B259" cm="1">
        <f t="array" ref="B259">INDEX(salesmonthly!$J$2:$J$5000, INT((ROW()-2)/8)+1)</f>
        <v>2016</v>
      </c>
      <c r="C259" cm="1">
        <f t="array" ref="C259">INDEX(salesmonthly!$K$2:$K$5000, INT((ROW()-2)/8)+1)</f>
        <v>9</v>
      </c>
      <c r="D259" t="str" cm="1">
        <f t="array" ref="D259">INDEX(salesmonthly!$B$1:$I$1, MOD(ROW()-2,8)+1)</f>
        <v>M01AE</v>
      </c>
      <c r="E259" t="str" cm="1">
        <f t="array" ref="E259">INDEX(salesmonthly!$B$2:$I$5000, INT((ROW()-2)/8)+1, MOD(ROW()-2,8)+1)</f>
        <v>126.21799999999995</v>
      </c>
    </row>
    <row r="260" spans="1:5" x14ac:dyDescent="0.35">
      <c r="A260" s="1" cm="1">
        <f t="array" ref="A260">INDEX(salesmonthly!$A$2:$A$5000, INT((ROW()-2)/8)+1)</f>
        <v>42643</v>
      </c>
      <c r="B260" cm="1">
        <f t="array" ref="B260">INDEX(salesmonthly!$J$2:$J$5000, INT((ROW()-2)/8)+1)</f>
        <v>2016</v>
      </c>
      <c r="C260" cm="1">
        <f t="array" ref="C260">INDEX(salesmonthly!$K$2:$K$5000, INT((ROW()-2)/8)+1)</f>
        <v>9</v>
      </c>
      <c r="D260" t="str" cm="1">
        <f t="array" ref="D260">INDEX(salesmonthly!$B$1:$I$1, MOD(ROW()-2,8)+1)</f>
        <v>N02BA</v>
      </c>
      <c r="E260" cm="1">
        <f t="array" ref="E260">INDEX(salesmonthly!$B$2:$I$5000, INT((ROW()-2)/8)+1, MOD(ROW()-2,8)+1)</f>
        <v>116.7</v>
      </c>
    </row>
    <row r="261" spans="1:5" x14ac:dyDescent="0.35">
      <c r="A261" s="1" cm="1">
        <f t="array" ref="A261">INDEX(salesmonthly!$A$2:$A$5000, INT((ROW()-2)/8)+1)</f>
        <v>42643</v>
      </c>
      <c r="B261" cm="1">
        <f t="array" ref="B261">INDEX(salesmonthly!$J$2:$J$5000, INT((ROW()-2)/8)+1)</f>
        <v>2016</v>
      </c>
      <c r="C261" cm="1">
        <f t="array" ref="C261">INDEX(salesmonthly!$K$2:$K$5000, INT((ROW()-2)/8)+1)</f>
        <v>9</v>
      </c>
      <c r="D261" t="str" cm="1">
        <f t="array" ref="D261">INDEX(salesmonthly!$B$1:$I$1, MOD(ROW()-2,8)+1)</f>
        <v>N02BE</v>
      </c>
      <c r="E261" cm="1">
        <f t="array" ref="E261">INDEX(salesmonthly!$B$2:$I$5000, INT((ROW()-2)/8)+1, MOD(ROW()-2,8)+1)</f>
        <v>1118.6990000000001</v>
      </c>
    </row>
    <row r="262" spans="1:5" x14ac:dyDescent="0.35">
      <c r="A262" s="1" cm="1">
        <f t="array" ref="A262">INDEX(salesmonthly!$A$2:$A$5000, INT((ROW()-2)/8)+1)</f>
        <v>42643</v>
      </c>
      <c r="B262" cm="1">
        <f t="array" ref="B262">INDEX(salesmonthly!$J$2:$J$5000, INT((ROW()-2)/8)+1)</f>
        <v>2016</v>
      </c>
      <c r="C262" cm="1">
        <f t="array" ref="C262">INDEX(salesmonthly!$K$2:$K$5000, INT((ROW()-2)/8)+1)</f>
        <v>9</v>
      </c>
      <c r="D262" t="str" cm="1">
        <f t="array" ref="D262">INDEX(salesmonthly!$B$1:$I$1, MOD(ROW()-2,8)+1)</f>
        <v>N05B</v>
      </c>
      <c r="E262" cm="1">
        <f t="array" ref="E262">INDEX(salesmonthly!$B$2:$I$5000, INT((ROW()-2)/8)+1, MOD(ROW()-2,8)+1)</f>
        <v>307</v>
      </c>
    </row>
    <row r="263" spans="1:5" x14ac:dyDescent="0.35">
      <c r="A263" s="1" cm="1">
        <f t="array" ref="A263">INDEX(salesmonthly!$A$2:$A$5000, INT((ROW()-2)/8)+1)</f>
        <v>42643</v>
      </c>
      <c r="B263" cm="1">
        <f t="array" ref="B263">INDEX(salesmonthly!$J$2:$J$5000, INT((ROW()-2)/8)+1)</f>
        <v>2016</v>
      </c>
      <c r="C263" cm="1">
        <f t="array" ref="C263">INDEX(salesmonthly!$K$2:$K$5000, INT((ROW()-2)/8)+1)</f>
        <v>9</v>
      </c>
      <c r="D263" t="str" cm="1">
        <f t="array" ref="D263">INDEX(salesmonthly!$B$1:$I$1, MOD(ROW()-2,8)+1)</f>
        <v>N05C</v>
      </c>
      <c r="E263" cm="1">
        <f t="array" ref="E263">INDEX(salesmonthly!$B$2:$I$5000, INT((ROW()-2)/8)+1, MOD(ROW()-2,8)+1)</f>
        <v>18</v>
      </c>
    </row>
    <row r="264" spans="1:5" x14ac:dyDescent="0.35">
      <c r="A264" s="1" cm="1">
        <f t="array" ref="A264">INDEX(salesmonthly!$A$2:$A$5000, INT((ROW()-2)/8)+1)</f>
        <v>42643</v>
      </c>
      <c r="B264" cm="1">
        <f t="array" ref="B264">INDEX(salesmonthly!$J$2:$J$5000, INT((ROW()-2)/8)+1)</f>
        <v>2016</v>
      </c>
      <c r="C264" cm="1">
        <f t="array" ref="C264">INDEX(salesmonthly!$K$2:$K$5000, INT((ROW()-2)/8)+1)</f>
        <v>9</v>
      </c>
      <c r="D264" t="str" cm="1">
        <f t="array" ref="D264">INDEX(salesmonthly!$B$1:$I$1, MOD(ROW()-2,8)+1)</f>
        <v>R03</v>
      </c>
      <c r="E264" cm="1">
        <f t="array" ref="E264">INDEX(salesmonthly!$B$2:$I$5000, INT((ROW()-2)/8)+1, MOD(ROW()-2,8)+1)</f>
        <v>121</v>
      </c>
    </row>
    <row r="265" spans="1:5" x14ac:dyDescent="0.35">
      <c r="A265" s="1" cm="1">
        <f t="array" ref="A265">INDEX(salesmonthly!$A$2:$A$5000, INT((ROW()-2)/8)+1)</f>
        <v>42643</v>
      </c>
      <c r="B265" cm="1">
        <f t="array" ref="B265">INDEX(salesmonthly!$J$2:$J$5000, INT((ROW()-2)/8)+1)</f>
        <v>2016</v>
      </c>
      <c r="C265" cm="1">
        <f t="array" ref="C265">INDEX(salesmonthly!$K$2:$K$5000, INT((ROW()-2)/8)+1)</f>
        <v>9</v>
      </c>
      <c r="D265" t="str" cm="1">
        <f t="array" ref="D265">INDEX(salesmonthly!$B$1:$I$1, MOD(ROW()-2,8)+1)</f>
        <v>R06</v>
      </c>
      <c r="E265" cm="1">
        <f t="array" ref="E265">INDEX(salesmonthly!$B$2:$I$5000, INT((ROW()-2)/8)+1, MOD(ROW()-2,8)+1)</f>
        <v>69.3</v>
      </c>
    </row>
    <row r="266" spans="1:5" x14ac:dyDescent="0.35">
      <c r="A266" s="1" cm="1">
        <f t="array" ref="A266">INDEX(salesmonthly!$A$2:$A$5000, INT((ROW()-2)/8)+1)</f>
        <v>42674</v>
      </c>
      <c r="B266" cm="1">
        <f t="array" ref="B266">INDEX(salesmonthly!$J$2:$J$5000, INT((ROW()-2)/8)+1)</f>
        <v>2016</v>
      </c>
      <c r="C266" cm="1">
        <f t="array" ref="C266">INDEX(salesmonthly!$K$2:$K$5000, INT((ROW()-2)/8)+1)</f>
        <v>10</v>
      </c>
      <c r="D266" t="str" cm="1">
        <f t="array" ref="D266">INDEX(salesmonthly!$B$1:$I$1, MOD(ROW()-2,8)+1)</f>
        <v>M01AB</v>
      </c>
      <c r="E266" t="str" cm="1">
        <f t="array" ref="E266">INDEX(salesmonthly!$B$2:$I$5000, INT((ROW()-2)/8)+1, MOD(ROW()-2,8)+1)</f>
        <v>186.7600000000001</v>
      </c>
    </row>
    <row r="267" spans="1:5" x14ac:dyDescent="0.35">
      <c r="A267" s="1" cm="1">
        <f t="array" ref="A267">INDEX(salesmonthly!$A$2:$A$5000, INT((ROW()-2)/8)+1)</f>
        <v>42674</v>
      </c>
      <c r="B267" cm="1">
        <f t="array" ref="B267">INDEX(salesmonthly!$J$2:$J$5000, INT((ROW()-2)/8)+1)</f>
        <v>2016</v>
      </c>
      <c r="C267" cm="1">
        <f t="array" ref="C267">INDEX(salesmonthly!$K$2:$K$5000, INT((ROW()-2)/8)+1)</f>
        <v>10</v>
      </c>
      <c r="D267" t="str" cm="1">
        <f t="array" ref="D267">INDEX(salesmonthly!$B$1:$I$1, MOD(ROW()-2,8)+1)</f>
        <v>M01AE</v>
      </c>
      <c r="E267" t="str" cm="1">
        <f t="array" ref="E267">INDEX(salesmonthly!$B$2:$I$5000, INT((ROW()-2)/8)+1, MOD(ROW()-2,8)+1)</f>
        <v>142.0560000000001</v>
      </c>
    </row>
    <row r="268" spans="1:5" x14ac:dyDescent="0.35">
      <c r="A268" s="1" cm="1">
        <f t="array" ref="A268">INDEX(salesmonthly!$A$2:$A$5000, INT((ROW()-2)/8)+1)</f>
        <v>42674</v>
      </c>
      <c r="B268" cm="1">
        <f t="array" ref="B268">INDEX(salesmonthly!$J$2:$J$5000, INT((ROW()-2)/8)+1)</f>
        <v>2016</v>
      </c>
      <c r="C268" cm="1">
        <f t="array" ref="C268">INDEX(salesmonthly!$K$2:$K$5000, INT((ROW()-2)/8)+1)</f>
        <v>10</v>
      </c>
      <c r="D268" t="str" cm="1">
        <f t="array" ref="D268">INDEX(salesmonthly!$B$1:$I$1, MOD(ROW()-2,8)+1)</f>
        <v>N02BA</v>
      </c>
      <c r="E268" cm="1">
        <f t="array" ref="E268">INDEX(salesmonthly!$B$2:$I$5000, INT((ROW()-2)/8)+1, MOD(ROW()-2,8)+1)</f>
        <v>160.15</v>
      </c>
    </row>
    <row r="269" spans="1:5" x14ac:dyDescent="0.35">
      <c r="A269" s="1" cm="1">
        <f t="array" ref="A269">INDEX(salesmonthly!$A$2:$A$5000, INT((ROW()-2)/8)+1)</f>
        <v>42674</v>
      </c>
      <c r="B269" cm="1">
        <f t="array" ref="B269">INDEX(salesmonthly!$J$2:$J$5000, INT((ROW()-2)/8)+1)</f>
        <v>2016</v>
      </c>
      <c r="C269" cm="1">
        <f t="array" ref="C269">INDEX(salesmonthly!$K$2:$K$5000, INT((ROW()-2)/8)+1)</f>
        <v>10</v>
      </c>
      <c r="D269" t="str" cm="1">
        <f t="array" ref="D269">INDEX(salesmonthly!$B$1:$I$1, MOD(ROW()-2,8)+1)</f>
        <v>N02BE</v>
      </c>
      <c r="E269" t="str" cm="1">
        <f t="array" ref="E269">INDEX(salesmonthly!$B$2:$I$5000, INT((ROW()-2)/8)+1, MOD(ROW()-2,8)+1)</f>
        <v>1617.275000000001</v>
      </c>
    </row>
    <row r="270" spans="1:5" x14ac:dyDescent="0.35">
      <c r="A270" s="1" cm="1">
        <f t="array" ref="A270">INDEX(salesmonthly!$A$2:$A$5000, INT((ROW()-2)/8)+1)</f>
        <v>42674</v>
      </c>
      <c r="B270" cm="1">
        <f t="array" ref="B270">INDEX(salesmonthly!$J$2:$J$5000, INT((ROW()-2)/8)+1)</f>
        <v>2016</v>
      </c>
      <c r="C270" cm="1">
        <f t="array" ref="C270">INDEX(salesmonthly!$K$2:$K$5000, INT((ROW()-2)/8)+1)</f>
        <v>10</v>
      </c>
      <c r="D270" t="str" cm="1">
        <f t="array" ref="D270">INDEX(salesmonthly!$B$1:$I$1, MOD(ROW()-2,8)+1)</f>
        <v>N05B</v>
      </c>
      <c r="E270" cm="1">
        <f t="array" ref="E270">INDEX(salesmonthly!$B$2:$I$5000, INT((ROW()-2)/8)+1, MOD(ROW()-2,8)+1)</f>
        <v>312</v>
      </c>
    </row>
    <row r="271" spans="1:5" x14ac:dyDescent="0.35">
      <c r="A271" s="1" cm="1">
        <f t="array" ref="A271">INDEX(salesmonthly!$A$2:$A$5000, INT((ROW()-2)/8)+1)</f>
        <v>42674</v>
      </c>
      <c r="B271" cm="1">
        <f t="array" ref="B271">INDEX(salesmonthly!$J$2:$J$5000, INT((ROW()-2)/8)+1)</f>
        <v>2016</v>
      </c>
      <c r="C271" cm="1">
        <f t="array" ref="C271">INDEX(salesmonthly!$K$2:$K$5000, INT((ROW()-2)/8)+1)</f>
        <v>10</v>
      </c>
      <c r="D271" t="str" cm="1">
        <f t="array" ref="D271">INDEX(salesmonthly!$B$1:$I$1, MOD(ROW()-2,8)+1)</f>
        <v>N05C</v>
      </c>
      <c r="E271" cm="1">
        <f t="array" ref="E271">INDEX(salesmonthly!$B$2:$I$5000, INT((ROW()-2)/8)+1, MOD(ROW()-2,8)+1)</f>
        <v>11</v>
      </c>
    </row>
    <row r="272" spans="1:5" x14ac:dyDescent="0.35">
      <c r="A272" s="1" cm="1">
        <f t="array" ref="A272">INDEX(salesmonthly!$A$2:$A$5000, INT((ROW()-2)/8)+1)</f>
        <v>42674</v>
      </c>
      <c r="B272" cm="1">
        <f t="array" ref="B272">INDEX(salesmonthly!$J$2:$J$5000, INT((ROW()-2)/8)+1)</f>
        <v>2016</v>
      </c>
      <c r="C272" cm="1">
        <f t="array" ref="C272">INDEX(salesmonthly!$K$2:$K$5000, INT((ROW()-2)/8)+1)</f>
        <v>10</v>
      </c>
      <c r="D272" t="str" cm="1">
        <f t="array" ref="D272">INDEX(salesmonthly!$B$1:$I$1, MOD(ROW()-2,8)+1)</f>
        <v>R03</v>
      </c>
      <c r="E272" cm="1">
        <f t="array" ref="E272">INDEX(salesmonthly!$B$2:$I$5000, INT((ROW()-2)/8)+1, MOD(ROW()-2,8)+1)</f>
        <v>220</v>
      </c>
    </row>
    <row r="273" spans="1:5" x14ac:dyDescent="0.35">
      <c r="A273" s="1" cm="1">
        <f t="array" ref="A273">INDEX(salesmonthly!$A$2:$A$5000, INT((ROW()-2)/8)+1)</f>
        <v>42674</v>
      </c>
      <c r="B273" cm="1">
        <f t="array" ref="B273">INDEX(salesmonthly!$J$2:$J$5000, INT((ROW()-2)/8)+1)</f>
        <v>2016</v>
      </c>
      <c r="C273" cm="1">
        <f t="array" ref="C273">INDEX(salesmonthly!$K$2:$K$5000, INT((ROW()-2)/8)+1)</f>
        <v>10</v>
      </c>
      <c r="D273" t="str" cm="1">
        <f t="array" ref="D273">INDEX(salesmonthly!$B$1:$I$1, MOD(ROW()-2,8)+1)</f>
        <v>R06</v>
      </c>
      <c r="E273" cm="1">
        <f t="array" ref="E273">INDEX(salesmonthly!$B$2:$I$5000, INT((ROW()-2)/8)+1, MOD(ROW()-2,8)+1)</f>
        <v>60.9</v>
      </c>
    </row>
    <row r="274" spans="1:5" x14ac:dyDescent="0.35">
      <c r="A274" s="1" cm="1">
        <f t="array" ref="A274">INDEX(salesmonthly!$A$2:$A$5000, INT((ROW()-2)/8)+1)</f>
        <v>42704</v>
      </c>
      <c r="B274" cm="1">
        <f t="array" ref="B274">INDEX(salesmonthly!$J$2:$J$5000, INT((ROW()-2)/8)+1)</f>
        <v>2016</v>
      </c>
      <c r="C274" cm="1">
        <f t="array" ref="C274">INDEX(salesmonthly!$K$2:$K$5000, INT((ROW()-2)/8)+1)</f>
        <v>11</v>
      </c>
      <c r="D274" t="str" cm="1">
        <f t="array" ref="D274">INDEX(salesmonthly!$B$1:$I$1, MOD(ROW()-2,8)+1)</f>
        <v>M01AB</v>
      </c>
      <c r="E274" t="str" cm="1">
        <f t="array" ref="E274">INDEX(salesmonthly!$B$2:$I$5000, INT((ROW()-2)/8)+1, MOD(ROW()-2,8)+1)</f>
        <v>175.18000000000012</v>
      </c>
    </row>
    <row r="275" spans="1:5" x14ac:dyDescent="0.35">
      <c r="A275" s="1" cm="1">
        <f t="array" ref="A275">INDEX(salesmonthly!$A$2:$A$5000, INT((ROW()-2)/8)+1)</f>
        <v>42704</v>
      </c>
      <c r="B275" cm="1">
        <f t="array" ref="B275">INDEX(salesmonthly!$J$2:$J$5000, INT((ROW()-2)/8)+1)</f>
        <v>2016</v>
      </c>
      <c r="C275" cm="1">
        <f t="array" ref="C275">INDEX(salesmonthly!$K$2:$K$5000, INT((ROW()-2)/8)+1)</f>
        <v>11</v>
      </c>
      <c r="D275" t="str" cm="1">
        <f t="array" ref="D275">INDEX(salesmonthly!$B$1:$I$1, MOD(ROW()-2,8)+1)</f>
        <v>M01AE</v>
      </c>
      <c r="E275" t="str" cm="1">
        <f t="array" ref="E275">INDEX(salesmonthly!$B$2:$I$5000, INT((ROW()-2)/8)+1, MOD(ROW()-2,8)+1)</f>
        <v>116.84999999999997</v>
      </c>
    </row>
    <row r="276" spans="1:5" x14ac:dyDescent="0.35">
      <c r="A276" s="1" cm="1">
        <f t="array" ref="A276">INDEX(salesmonthly!$A$2:$A$5000, INT((ROW()-2)/8)+1)</f>
        <v>42704</v>
      </c>
      <c r="B276" cm="1">
        <f t="array" ref="B276">INDEX(salesmonthly!$J$2:$J$5000, INT((ROW()-2)/8)+1)</f>
        <v>2016</v>
      </c>
      <c r="C276" cm="1">
        <f t="array" ref="C276">INDEX(salesmonthly!$K$2:$K$5000, INT((ROW()-2)/8)+1)</f>
        <v>11</v>
      </c>
      <c r="D276" t="str" cm="1">
        <f t="array" ref="D276">INDEX(salesmonthly!$B$1:$I$1, MOD(ROW()-2,8)+1)</f>
        <v>N02BA</v>
      </c>
      <c r="E276" t="str" cm="1">
        <f t="array" ref="E276">INDEX(salesmonthly!$B$2:$I$5000, INT((ROW()-2)/8)+1, MOD(ROW()-2,8)+1)</f>
        <v>133.85000000000002</v>
      </c>
    </row>
    <row r="277" spans="1:5" x14ac:dyDescent="0.35">
      <c r="A277" s="1" cm="1">
        <f t="array" ref="A277">INDEX(salesmonthly!$A$2:$A$5000, INT((ROW()-2)/8)+1)</f>
        <v>42704</v>
      </c>
      <c r="B277" cm="1">
        <f t="array" ref="B277">INDEX(salesmonthly!$J$2:$J$5000, INT((ROW()-2)/8)+1)</f>
        <v>2016</v>
      </c>
      <c r="C277" cm="1">
        <f t="array" ref="C277">INDEX(salesmonthly!$K$2:$K$5000, INT((ROW()-2)/8)+1)</f>
        <v>11</v>
      </c>
      <c r="D277" t="str" cm="1">
        <f t="array" ref="D277">INDEX(salesmonthly!$B$1:$I$1, MOD(ROW()-2,8)+1)</f>
        <v>N02BE</v>
      </c>
      <c r="E277" t="str" cm="1">
        <f t="array" ref="E277">INDEX(salesmonthly!$B$2:$I$5000, INT((ROW()-2)/8)+1, MOD(ROW()-2,8)+1)</f>
        <v>1062.6860000000004</v>
      </c>
    </row>
    <row r="278" spans="1:5" x14ac:dyDescent="0.35">
      <c r="A278" s="1" cm="1">
        <f t="array" ref="A278">INDEX(salesmonthly!$A$2:$A$5000, INT((ROW()-2)/8)+1)</f>
        <v>42704</v>
      </c>
      <c r="B278" cm="1">
        <f t="array" ref="B278">INDEX(salesmonthly!$J$2:$J$5000, INT((ROW()-2)/8)+1)</f>
        <v>2016</v>
      </c>
      <c r="C278" cm="1">
        <f t="array" ref="C278">INDEX(salesmonthly!$K$2:$K$5000, INT((ROW()-2)/8)+1)</f>
        <v>11</v>
      </c>
      <c r="D278" t="str" cm="1">
        <f t="array" ref="D278">INDEX(salesmonthly!$B$1:$I$1, MOD(ROW()-2,8)+1)</f>
        <v>N05B</v>
      </c>
      <c r="E278" cm="1">
        <f t="array" ref="E278">INDEX(salesmonthly!$B$2:$I$5000, INT((ROW()-2)/8)+1, MOD(ROW()-2,8)+1)</f>
        <v>246</v>
      </c>
    </row>
    <row r="279" spans="1:5" x14ac:dyDescent="0.35">
      <c r="A279" s="1" cm="1">
        <f t="array" ref="A279">INDEX(salesmonthly!$A$2:$A$5000, INT((ROW()-2)/8)+1)</f>
        <v>42704</v>
      </c>
      <c r="B279" cm="1">
        <f t="array" ref="B279">INDEX(salesmonthly!$J$2:$J$5000, INT((ROW()-2)/8)+1)</f>
        <v>2016</v>
      </c>
      <c r="C279" cm="1">
        <f t="array" ref="C279">INDEX(salesmonthly!$K$2:$K$5000, INT((ROW()-2)/8)+1)</f>
        <v>11</v>
      </c>
      <c r="D279" t="str" cm="1">
        <f t="array" ref="D279">INDEX(salesmonthly!$B$1:$I$1, MOD(ROW()-2,8)+1)</f>
        <v>N05C</v>
      </c>
      <c r="E279" cm="1">
        <f t="array" ref="E279">INDEX(salesmonthly!$B$2:$I$5000, INT((ROW()-2)/8)+1, MOD(ROW()-2,8)+1)</f>
        <v>27</v>
      </c>
    </row>
    <row r="280" spans="1:5" x14ac:dyDescent="0.35">
      <c r="A280" s="1" cm="1">
        <f t="array" ref="A280">INDEX(salesmonthly!$A$2:$A$5000, INT((ROW()-2)/8)+1)</f>
        <v>42704</v>
      </c>
      <c r="B280" cm="1">
        <f t="array" ref="B280">INDEX(salesmonthly!$J$2:$J$5000, INT((ROW()-2)/8)+1)</f>
        <v>2016</v>
      </c>
      <c r="C280" cm="1">
        <f t="array" ref="C280">INDEX(salesmonthly!$K$2:$K$5000, INT((ROW()-2)/8)+1)</f>
        <v>11</v>
      </c>
      <c r="D280" t="str" cm="1">
        <f t="array" ref="D280">INDEX(salesmonthly!$B$1:$I$1, MOD(ROW()-2,8)+1)</f>
        <v>R03</v>
      </c>
      <c r="E280" cm="1">
        <f t="array" ref="E280">INDEX(salesmonthly!$B$2:$I$5000, INT((ROW()-2)/8)+1, MOD(ROW()-2,8)+1)</f>
        <v>150</v>
      </c>
    </row>
    <row r="281" spans="1:5" x14ac:dyDescent="0.35">
      <c r="A281" s="1" cm="1">
        <f t="array" ref="A281">INDEX(salesmonthly!$A$2:$A$5000, INT((ROW()-2)/8)+1)</f>
        <v>42704</v>
      </c>
      <c r="B281" cm="1">
        <f t="array" ref="B281">INDEX(salesmonthly!$J$2:$J$5000, INT((ROW()-2)/8)+1)</f>
        <v>2016</v>
      </c>
      <c r="C281" cm="1">
        <f t="array" ref="C281">INDEX(salesmonthly!$K$2:$K$5000, INT((ROW()-2)/8)+1)</f>
        <v>11</v>
      </c>
      <c r="D281" t="str" cm="1">
        <f t="array" ref="D281">INDEX(salesmonthly!$B$1:$I$1, MOD(ROW()-2,8)+1)</f>
        <v>R06</v>
      </c>
      <c r="E281" t="str" cm="1">
        <f t="array" ref="E281">INDEX(salesmonthly!$B$2:$I$5000, INT((ROW()-2)/8)+1, MOD(ROW()-2,8)+1)</f>
        <v>51.199999999999996</v>
      </c>
    </row>
    <row r="282" spans="1:5" x14ac:dyDescent="0.35">
      <c r="A282" s="1" cm="1">
        <f t="array" ref="A282">INDEX(salesmonthly!$A$2:$A$5000, INT((ROW()-2)/8)+1)</f>
        <v>42735</v>
      </c>
      <c r="B282" cm="1">
        <f t="array" ref="B282">INDEX(salesmonthly!$J$2:$J$5000, INT((ROW()-2)/8)+1)</f>
        <v>2016</v>
      </c>
      <c r="C282" cm="1">
        <f t="array" ref="C282">INDEX(salesmonthly!$K$2:$K$5000, INT((ROW()-2)/8)+1)</f>
        <v>12</v>
      </c>
      <c r="D282" t="str" cm="1">
        <f t="array" ref="D282">INDEX(salesmonthly!$B$1:$I$1, MOD(ROW()-2,8)+1)</f>
        <v>M01AB</v>
      </c>
      <c r="E282" t="str" cm="1">
        <f t="array" ref="E282">INDEX(salesmonthly!$B$2:$I$5000, INT((ROW()-2)/8)+1, MOD(ROW()-2,8)+1)</f>
        <v>169.32000000000002</v>
      </c>
    </row>
    <row r="283" spans="1:5" x14ac:dyDescent="0.35">
      <c r="A283" s="1" cm="1">
        <f t="array" ref="A283">INDEX(salesmonthly!$A$2:$A$5000, INT((ROW()-2)/8)+1)</f>
        <v>42735</v>
      </c>
      <c r="B283" cm="1">
        <f t="array" ref="B283">INDEX(salesmonthly!$J$2:$J$5000, INT((ROW()-2)/8)+1)</f>
        <v>2016</v>
      </c>
      <c r="C283" cm="1">
        <f t="array" ref="C283">INDEX(salesmonthly!$K$2:$K$5000, INT((ROW()-2)/8)+1)</f>
        <v>12</v>
      </c>
      <c r="D283" t="str" cm="1">
        <f t="array" ref="D283">INDEX(salesmonthly!$B$1:$I$1, MOD(ROW()-2,8)+1)</f>
        <v>M01AE</v>
      </c>
      <c r="E283" t="str" cm="1">
        <f t="array" ref="E283">INDEX(salesmonthly!$B$2:$I$5000, INT((ROW()-2)/8)+1, MOD(ROW()-2,8)+1)</f>
        <v>135.05600000000004</v>
      </c>
    </row>
    <row r="284" spans="1:5" x14ac:dyDescent="0.35">
      <c r="A284" s="1" cm="1">
        <f t="array" ref="A284">INDEX(salesmonthly!$A$2:$A$5000, INT((ROW()-2)/8)+1)</f>
        <v>42735</v>
      </c>
      <c r="B284" cm="1">
        <f t="array" ref="B284">INDEX(salesmonthly!$J$2:$J$5000, INT((ROW()-2)/8)+1)</f>
        <v>2016</v>
      </c>
      <c r="C284" cm="1">
        <f t="array" ref="C284">INDEX(salesmonthly!$K$2:$K$5000, INT((ROW()-2)/8)+1)</f>
        <v>12</v>
      </c>
      <c r="D284" t="str" cm="1">
        <f t="array" ref="D284">INDEX(salesmonthly!$B$1:$I$1, MOD(ROW()-2,8)+1)</f>
        <v>N02BA</v>
      </c>
      <c r="E284" t="str" cm="1">
        <f t="array" ref="E284">INDEX(salesmonthly!$B$2:$I$5000, INT((ROW()-2)/8)+1, MOD(ROW()-2,8)+1)</f>
        <v>132.39999999999998</v>
      </c>
    </row>
    <row r="285" spans="1:5" x14ac:dyDescent="0.35">
      <c r="A285" s="1" cm="1">
        <f t="array" ref="A285">INDEX(salesmonthly!$A$2:$A$5000, INT((ROW()-2)/8)+1)</f>
        <v>42735</v>
      </c>
      <c r="B285" cm="1">
        <f t="array" ref="B285">INDEX(salesmonthly!$J$2:$J$5000, INT((ROW()-2)/8)+1)</f>
        <v>2016</v>
      </c>
      <c r="C285" cm="1">
        <f t="array" ref="C285">INDEX(salesmonthly!$K$2:$K$5000, INT((ROW()-2)/8)+1)</f>
        <v>12</v>
      </c>
      <c r="D285" t="str" cm="1">
        <f t="array" ref="D285">INDEX(salesmonthly!$B$1:$I$1, MOD(ROW()-2,8)+1)</f>
        <v>N02BE</v>
      </c>
      <c r="E285" t="str" cm="1">
        <f t="array" ref="E285">INDEX(salesmonthly!$B$2:$I$5000, INT((ROW()-2)/8)+1, MOD(ROW()-2,8)+1)</f>
        <v>1624.3350000000003</v>
      </c>
    </row>
    <row r="286" spans="1:5" x14ac:dyDescent="0.35">
      <c r="A286" s="1" cm="1">
        <f t="array" ref="A286">INDEX(salesmonthly!$A$2:$A$5000, INT((ROW()-2)/8)+1)</f>
        <v>42735</v>
      </c>
      <c r="B286" cm="1">
        <f t="array" ref="B286">INDEX(salesmonthly!$J$2:$J$5000, INT((ROW()-2)/8)+1)</f>
        <v>2016</v>
      </c>
      <c r="C286" cm="1">
        <f t="array" ref="C286">INDEX(salesmonthly!$K$2:$K$5000, INT((ROW()-2)/8)+1)</f>
        <v>12</v>
      </c>
      <c r="D286" t="str" cm="1">
        <f t="array" ref="D286">INDEX(salesmonthly!$B$1:$I$1, MOD(ROW()-2,8)+1)</f>
        <v>N05B</v>
      </c>
      <c r="E286" cm="1">
        <f t="array" ref="E286">INDEX(salesmonthly!$B$2:$I$5000, INT((ROW()-2)/8)+1, MOD(ROW()-2,8)+1)</f>
        <v>257</v>
      </c>
    </row>
    <row r="287" spans="1:5" x14ac:dyDescent="0.35">
      <c r="A287" s="1" cm="1">
        <f t="array" ref="A287">INDEX(salesmonthly!$A$2:$A$5000, INT((ROW()-2)/8)+1)</f>
        <v>42735</v>
      </c>
      <c r="B287" cm="1">
        <f t="array" ref="B287">INDEX(salesmonthly!$J$2:$J$5000, INT((ROW()-2)/8)+1)</f>
        <v>2016</v>
      </c>
      <c r="C287" cm="1">
        <f t="array" ref="C287">INDEX(salesmonthly!$K$2:$K$5000, INT((ROW()-2)/8)+1)</f>
        <v>12</v>
      </c>
      <c r="D287" t="str" cm="1">
        <f t="array" ref="D287">INDEX(salesmonthly!$B$1:$I$1, MOD(ROW()-2,8)+1)</f>
        <v>N05C</v>
      </c>
      <c r="E287" cm="1">
        <f t="array" ref="E287">INDEX(salesmonthly!$B$2:$I$5000, INT((ROW()-2)/8)+1, MOD(ROW()-2,8)+1)</f>
        <v>18</v>
      </c>
    </row>
    <row r="288" spans="1:5" x14ac:dyDescent="0.35">
      <c r="A288" s="1" cm="1">
        <f t="array" ref="A288">INDEX(salesmonthly!$A$2:$A$5000, INT((ROW()-2)/8)+1)</f>
        <v>42735</v>
      </c>
      <c r="B288" cm="1">
        <f t="array" ref="B288">INDEX(salesmonthly!$J$2:$J$5000, INT((ROW()-2)/8)+1)</f>
        <v>2016</v>
      </c>
      <c r="C288" cm="1">
        <f t="array" ref="C288">INDEX(salesmonthly!$K$2:$K$5000, INT((ROW()-2)/8)+1)</f>
        <v>12</v>
      </c>
      <c r="D288" t="str" cm="1">
        <f t="array" ref="D288">INDEX(salesmonthly!$B$1:$I$1, MOD(ROW()-2,8)+1)</f>
        <v>R03</v>
      </c>
      <c r="E288" cm="1">
        <f t="array" ref="E288">INDEX(salesmonthly!$B$2:$I$5000, INT((ROW()-2)/8)+1, MOD(ROW()-2,8)+1)</f>
        <v>275</v>
      </c>
    </row>
    <row r="289" spans="1:5" x14ac:dyDescent="0.35">
      <c r="A289" s="1" cm="1">
        <f t="array" ref="A289">INDEX(salesmonthly!$A$2:$A$5000, INT((ROW()-2)/8)+1)</f>
        <v>42735</v>
      </c>
      <c r="B289" cm="1">
        <f t="array" ref="B289">INDEX(salesmonthly!$J$2:$J$5000, INT((ROW()-2)/8)+1)</f>
        <v>2016</v>
      </c>
      <c r="C289" cm="1">
        <f t="array" ref="C289">INDEX(salesmonthly!$K$2:$K$5000, INT((ROW()-2)/8)+1)</f>
        <v>12</v>
      </c>
      <c r="D289" t="str" cm="1">
        <f t="array" ref="D289">INDEX(salesmonthly!$B$1:$I$1, MOD(ROW()-2,8)+1)</f>
        <v>R06</v>
      </c>
      <c r="E289" cm="1">
        <f t="array" ref="E289">INDEX(salesmonthly!$B$2:$I$5000, INT((ROW()-2)/8)+1, MOD(ROW()-2,8)+1)</f>
        <v>34.9</v>
      </c>
    </row>
    <row r="290" spans="1:5" x14ac:dyDescent="0.35">
      <c r="A290" s="1" cm="1">
        <f t="array" ref="A290">INDEX(salesmonthly!$A$2:$A$5000, INT((ROW()-2)/8)+1)</f>
        <v>42766</v>
      </c>
      <c r="B290" cm="1">
        <f t="array" ref="B290">INDEX(salesmonthly!$J$2:$J$5000, INT((ROW()-2)/8)+1)</f>
        <v>2017</v>
      </c>
      <c r="C290" cm="1">
        <f t="array" ref="C290">INDEX(salesmonthly!$K$2:$K$5000, INT((ROW()-2)/8)+1)</f>
        <v>1</v>
      </c>
      <c r="D290" t="str" cm="1">
        <f t="array" ref="D290">INDEX(salesmonthly!$B$1:$I$1, MOD(ROW()-2,8)+1)</f>
        <v>M01AB</v>
      </c>
      <c r="E290" cm="1">
        <f t="array" ref="E290">INDEX(salesmonthly!$B$2:$I$5000, INT((ROW()-2)/8)+1, MOD(ROW()-2,8)+1)</f>
        <v>0</v>
      </c>
    </row>
    <row r="291" spans="1:5" x14ac:dyDescent="0.35">
      <c r="A291" s="1" cm="1">
        <f t="array" ref="A291">INDEX(salesmonthly!$A$2:$A$5000, INT((ROW()-2)/8)+1)</f>
        <v>42766</v>
      </c>
      <c r="B291" cm="1">
        <f t="array" ref="B291">INDEX(salesmonthly!$J$2:$J$5000, INT((ROW()-2)/8)+1)</f>
        <v>2017</v>
      </c>
      <c r="C291" cm="1">
        <f t="array" ref="C291">INDEX(salesmonthly!$K$2:$K$5000, INT((ROW()-2)/8)+1)</f>
        <v>1</v>
      </c>
      <c r="D291" t="str" cm="1">
        <f t="array" ref="D291">INDEX(salesmonthly!$B$1:$I$1, MOD(ROW()-2,8)+1)</f>
        <v>M01AE</v>
      </c>
      <c r="E291" cm="1">
        <f t="array" ref="E291">INDEX(salesmonthly!$B$2:$I$5000, INT((ROW()-2)/8)+1, MOD(ROW()-2,8)+1)</f>
        <v>0</v>
      </c>
    </row>
    <row r="292" spans="1:5" x14ac:dyDescent="0.35">
      <c r="A292" s="1" cm="1">
        <f t="array" ref="A292">INDEX(salesmonthly!$A$2:$A$5000, INT((ROW()-2)/8)+1)</f>
        <v>42766</v>
      </c>
      <c r="B292" cm="1">
        <f t="array" ref="B292">INDEX(salesmonthly!$J$2:$J$5000, INT((ROW()-2)/8)+1)</f>
        <v>2017</v>
      </c>
      <c r="C292" cm="1">
        <f t="array" ref="C292">INDEX(salesmonthly!$K$2:$K$5000, INT((ROW()-2)/8)+1)</f>
        <v>1</v>
      </c>
      <c r="D292" t="str" cm="1">
        <f t="array" ref="D292">INDEX(salesmonthly!$B$1:$I$1, MOD(ROW()-2,8)+1)</f>
        <v>N02BA</v>
      </c>
      <c r="E292" cm="1">
        <f t="array" ref="E292">INDEX(salesmonthly!$B$2:$I$5000, INT((ROW()-2)/8)+1, MOD(ROW()-2,8)+1)</f>
        <v>0</v>
      </c>
    </row>
    <row r="293" spans="1:5" x14ac:dyDescent="0.35">
      <c r="A293" s="1" cm="1">
        <f t="array" ref="A293">INDEX(salesmonthly!$A$2:$A$5000, INT((ROW()-2)/8)+1)</f>
        <v>42766</v>
      </c>
      <c r="B293" cm="1">
        <f t="array" ref="B293">INDEX(salesmonthly!$J$2:$J$5000, INT((ROW()-2)/8)+1)</f>
        <v>2017</v>
      </c>
      <c r="C293" cm="1">
        <f t="array" ref="C293">INDEX(salesmonthly!$K$2:$K$5000, INT((ROW()-2)/8)+1)</f>
        <v>1</v>
      </c>
      <c r="D293" t="str" cm="1">
        <f t="array" ref="D293">INDEX(salesmonthly!$B$1:$I$1, MOD(ROW()-2,8)+1)</f>
        <v>N02BE</v>
      </c>
      <c r="E293" cm="1">
        <f t="array" ref="E293">INDEX(salesmonthly!$B$2:$I$5000, INT((ROW()-2)/8)+1, MOD(ROW()-2,8)+1)</f>
        <v>0</v>
      </c>
    </row>
    <row r="294" spans="1:5" x14ac:dyDescent="0.35">
      <c r="A294" s="1" cm="1">
        <f t="array" ref="A294">INDEX(salesmonthly!$A$2:$A$5000, INT((ROW()-2)/8)+1)</f>
        <v>42766</v>
      </c>
      <c r="B294" cm="1">
        <f t="array" ref="B294">INDEX(salesmonthly!$J$2:$J$5000, INT((ROW()-2)/8)+1)</f>
        <v>2017</v>
      </c>
      <c r="C294" cm="1">
        <f t="array" ref="C294">INDEX(salesmonthly!$K$2:$K$5000, INT((ROW()-2)/8)+1)</f>
        <v>1</v>
      </c>
      <c r="D294" t="str" cm="1">
        <f t="array" ref="D294">INDEX(salesmonthly!$B$1:$I$1, MOD(ROW()-2,8)+1)</f>
        <v>N05B</v>
      </c>
      <c r="E294" cm="1">
        <f t="array" ref="E294">INDEX(salesmonthly!$B$2:$I$5000, INT((ROW()-2)/8)+1, MOD(ROW()-2,8)+1)</f>
        <v>1</v>
      </c>
    </row>
    <row r="295" spans="1:5" x14ac:dyDescent="0.35">
      <c r="A295" s="1" cm="1">
        <f t="array" ref="A295">INDEX(salesmonthly!$A$2:$A$5000, INT((ROW()-2)/8)+1)</f>
        <v>42766</v>
      </c>
      <c r="B295" cm="1">
        <f t="array" ref="B295">INDEX(salesmonthly!$J$2:$J$5000, INT((ROW()-2)/8)+1)</f>
        <v>2017</v>
      </c>
      <c r="C295" cm="1">
        <f t="array" ref="C295">INDEX(salesmonthly!$K$2:$K$5000, INT((ROW()-2)/8)+1)</f>
        <v>1</v>
      </c>
      <c r="D295" t="str" cm="1">
        <f t="array" ref="D295">INDEX(salesmonthly!$B$1:$I$1, MOD(ROW()-2,8)+1)</f>
        <v>N05C</v>
      </c>
      <c r="E295" cm="1">
        <f t="array" ref="E295">INDEX(salesmonthly!$B$2:$I$5000, INT((ROW()-2)/8)+1, MOD(ROW()-2,8)+1)</f>
        <v>0</v>
      </c>
    </row>
    <row r="296" spans="1:5" x14ac:dyDescent="0.35">
      <c r="A296" s="1" cm="1">
        <f t="array" ref="A296">INDEX(salesmonthly!$A$2:$A$5000, INT((ROW()-2)/8)+1)</f>
        <v>42766</v>
      </c>
      <c r="B296" cm="1">
        <f t="array" ref="B296">INDEX(salesmonthly!$J$2:$J$5000, INT((ROW()-2)/8)+1)</f>
        <v>2017</v>
      </c>
      <c r="C296" cm="1">
        <f t="array" ref="C296">INDEX(salesmonthly!$K$2:$K$5000, INT((ROW()-2)/8)+1)</f>
        <v>1</v>
      </c>
      <c r="D296" t="str" cm="1">
        <f t="array" ref="D296">INDEX(salesmonthly!$B$1:$I$1, MOD(ROW()-2,8)+1)</f>
        <v>R03</v>
      </c>
      <c r="E296" cm="1">
        <f t="array" ref="E296">INDEX(salesmonthly!$B$2:$I$5000, INT((ROW()-2)/8)+1, MOD(ROW()-2,8)+1)</f>
        <v>0</v>
      </c>
    </row>
    <row r="297" spans="1:5" x14ac:dyDescent="0.35">
      <c r="A297" s="1" cm="1">
        <f t="array" ref="A297">INDEX(salesmonthly!$A$2:$A$5000, INT((ROW()-2)/8)+1)</f>
        <v>42766</v>
      </c>
      <c r="B297" cm="1">
        <f t="array" ref="B297">INDEX(salesmonthly!$J$2:$J$5000, INT((ROW()-2)/8)+1)</f>
        <v>2017</v>
      </c>
      <c r="C297" cm="1">
        <f t="array" ref="C297">INDEX(salesmonthly!$K$2:$K$5000, INT((ROW()-2)/8)+1)</f>
        <v>1</v>
      </c>
      <c r="D297" t="str" cm="1">
        <f t="array" ref="D297">INDEX(salesmonthly!$B$1:$I$1, MOD(ROW()-2,8)+1)</f>
        <v>R06</v>
      </c>
      <c r="E297" cm="1">
        <f t="array" ref="E297">INDEX(salesmonthly!$B$2:$I$5000, INT((ROW()-2)/8)+1, MOD(ROW()-2,8)+1)</f>
        <v>0</v>
      </c>
    </row>
    <row r="298" spans="1:5" x14ac:dyDescent="0.35">
      <c r="A298" s="1" cm="1">
        <f t="array" ref="A298">INDEX(salesmonthly!$A$2:$A$5000, INT((ROW()-2)/8)+1)</f>
        <v>42794</v>
      </c>
      <c r="B298" cm="1">
        <f t="array" ref="B298">INDEX(salesmonthly!$J$2:$J$5000, INT((ROW()-2)/8)+1)</f>
        <v>2017</v>
      </c>
      <c r="C298" cm="1">
        <f t="array" ref="C298">INDEX(salesmonthly!$K$2:$K$5000, INT((ROW()-2)/8)+1)</f>
        <v>2</v>
      </c>
      <c r="D298" t="str" cm="1">
        <f t="array" ref="D298">INDEX(salesmonthly!$B$1:$I$1, MOD(ROW()-2,8)+1)</f>
        <v>M01AB</v>
      </c>
      <c r="E298" t="str" cm="1">
        <f t="array" ref="E298">INDEX(salesmonthly!$B$2:$I$5000, INT((ROW()-2)/8)+1, MOD(ROW()-2,8)+1)</f>
        <v>139.69000000000003</v>
      </c>
    </row>
    <row r="299" spans="1:5" x14ac:dyDescent="0.35">
      <c r="A299" s="1" cm="1">
        <f t="array" ref="A299">INDEX(salesmonthly!$A$2:$A$5000, INT((ROW()-2)/8)+1)</f>
        <v>42794</v>
      </c>
      <c r="B299" cm="1">
        <f t="array" ref="B299">INDEX(salesmonthly!$J$2:$J$5000, INT((ROW()-2)/8)+1)</f>
        <v>2017</v>
      </c>
      <c r="C299" cm="1">
        <f t="array" ref="C299">INDEX(salesmonthly!$K$2:$K$5000, INT((ROW()-2)/8)+1)</f>
        <v>2</v>
      </c>
      <c r="D299" t="str" cm="1">
        <f t="array" ref="D299">INDEX(salesmonthly!$B$1:$I$1, MOD(ROW()-2,8)+1)</f>
        <v>M01AE</v>
      </c>
      <c r="E299" t="str" cm="1">
        <f t="array" ref="E299">INDEX(salesmonthly!$B$2:$I$5000, INT((ROW()-2)/8)+1, MOD(ROW()-2,8)+1)</f>
        <v>103.51700000000001</v>
      </c>
    </row>
    <row r="300" spans="1:5" x14ac:dyDescent="0.35">
      <c r="A300" s="1" cm="1">
        <f t="array" ref="A300">INDEX(salesmonthly!$A$2:$A$5000, INT((ROW()-2)/8)+1)</f>
        <v>42794</v>
      </c>
      <c r="B300" cm="1">
        <f t="array" ref="B300">INDEX(salesmonthly!$J$2:$J$5000, INT((ROW()-2)/8)+1)</f>
        <v>2017</v>
      </c>
      <c r="C300" cm="1">
        <f t="array" ref="C300">INDEX(salesmonthly!$K$2:$K$5000, INT((ROW()-2)/8)+1)</f>
        <v>2</v>
      </c>
      <c r="D300" t="str" cm="1">
        <f t="array" ref="D300">INDEX(salesmonthly!$B$1:$I$1, MOD(ROW()-2,8)+1)</f>
        <v>N02BA</v>
      </c>
      <c r="E300" cm="1">
        <f t="array" ref="E300">INDEX(salesmonthly!$B$2:$I$5000, INT((ROW()-2)/8)+1, MOD(ROW()-2,8)+1)</f>
        <v>97</v>
      </c>
    </row>
    <row r="301" spans="1:5" x14ac:dyDescent="0.35">
      <c r="A301" s="1" cm="1">
        <f t="array" ref="A301">INDEX(salesmonthly!$A$2:$A$5000, INT((ROW()-2)/8)+1)</f>
        <v>42794</v>
      </c>
      <c r="B301" cm="1">
        <f t="array" ref="B301">INDEX(salesmonthly!$J$2:$J$5000, INT((ROW()-2)/8)+1)</f>
        <v>2017</v>
      </c>
      <c r="C301" cm="1">
        <f t="array" ref="C301">INDEX(salesmonthly!$K$2:$K$5000, INT((ROW()-2)/8)+1)</f>
        <v>2</v>
      </c>
      <c r="D301" t="str" cm="1">
        <f t="array" ref="D301">INDEX(salesmonthly!$B$1:$I$1, MOD(ROW()-2,8)+1)</f>
        <v>N02BE</v>
      </c>
      <c r="E301" t="str" cm="1">
        <f t="array" ref="E301">INDEX(salesmonthly!$B$2:$I$5000, INT((ROW()-2)/8)+1, MOD(ROW()-2,8)+1)</f>
        <v>526.3500000000001</v>
      </c>
    </row>
    <row r="302" spans="1:5" x14ac:dyDescent="0.35">
      <c r="A302" s="1" cm="1">
        <f t="array" ref="A302">INDEX(salesmonthly!$A$2:$A$5000, INT((ROW()-2)/8)+1)</f>
        <v>42794</v>
      </c>
      <c r="B302" cm="1">
        <f t="array" ref="B302">INDEX(salesmonthly!$J$2:$J$5000, INT((ROW()-2)/8)+1)</f>
        <v>2017</v>
      </c>
      <c r="C302" cm="1">
        <f t="array" ref="C302">INDEX(salesmonthly!$K$2:$K$5000, INT((ROW()-2)/8)+1)</f>
        <v>2</v>
      </c>
      <c r="D302" t="str" cm="1">
        <f t="array" ref="D302">INDEX(salesmonthly!$B$1:$I$1, MOD(ROW()-2,8)+1)</f>
        <v>N05B</v>
      </c>
      <c r="E302" cm="1">
        <f t="array" ref="E302">INDEX(salesmonthly!$B$2:$I$5000, INT((ROW()-2)/8)+1, MOD(ROW()-2,8)+1)</f>
        <v>144</v>
      </c>
    </row>
    <row r="303" spans="1:5" x14ac:dyDescent="0.35">
      <c r="A303" s="1" cm="1">
        <f t="array" ref="A303">INDEX(salesmonthly!$A$2:$A$5000, INT((ROW()-2)/8)+1)</f>
        <v>42794</v>
      </c>
      <c r="B303" cm="1">
        <f t="array" ref="B303">INDEX(salesmonthly!$J$2:$J$5000, INT((ROW()-2)/8)+1)</f>
        <v>2017</v>
      </c>
      <c r="C303" cm="1">
        <f t="array" ref="C303">INDEX(salesmonthly!$K$2:$K$5000, INT((ROW()-2)/8)+1)</f>
        <v>2</v>
      </c>
      <c r="D303" t="str" cm="1">
        <f t="array" ref="D303">INDEX(salesmonthly!$B$1:$I$1, MOD(ROW()-2,8)+1)</f>
        <v>N05C</v>
      </c>
      <c r="E303" cm="1">
        <f t="array" ref="E303">INDEX(salesmonthly!$B$2:$I$5000, INT((ROW()-2)/8)+1, MOD(ROW()-2,8)+1)</f>
        <v>7</v>
      </c>
    </row>
    <row r="304" spans="1:5" x14ac:dyDescent="0.35">
      <c r="A304" s="1" cm="1">
        <f t="array" ref="A304">INDEX(salesmonthly!$A$2:$A$5000, INT((ROW()-2)/8)+1)</f>
        <v>42794</v>
      </c>
      <c r="B304" cm="1">
        <f t="array" ref="B304">INDEX(salesmonthly!$J$2:$J$5000, INT((ROW()-2)/8)+1)</f>
        <v>2017</v>
      </c>
      <c r="C304" cm="1">
        <f t="array" ref="C304">INDEX(salesmonthly!$K$2:$K$5000, INT((ROW()-2)/8)+1)</f>
        <v>2</v>
      </c>
      <c r="D304" t="str" cm="1">
        <f t="array" ref="D304">INDEX(salesmonthly!$B$1:$I$1, MOD(ROW()-2,8)+1)</f>
        <v>R03</v>
      </c>
      <c r="E304" cm="1">
        <f t="array" ref="E304">INDEX(salesmonthly!$B$2:$I$5000, INT((ROW()-2)/8)+1, MOD(ROW()-2,8)+1)</f>
        <v>117</v>
      </c>
    </row>
    <row r="305" spans="1:5" x14ac:dyDescent="0.35">
      <c r="A305" s="1" cm="1">
        <f t="array" ref="A305">INDEX(salesmonthly!$A$2:$A$5000, INT((ROW()-2)/8)+1)</f>
        <v>42794</v>
      </c>
      <c r="B305" cm="1">
        <f t="array" ref="B305">INDEX(salesmonthly!$J$2:$J$5000, INT((ROW()-2)/8)+1)</f>
        <v>2017</v>
      </c>
      <c r="C305" cm="1">
        <f t="array" ref="C305">INDEX(salesmonthly!$K$2:$K$5000, INT((ROW()-2)/8)+1)</f>
        <v>2</v>
      </c>
      <c r="D305" t="str" cm="1">
        <f t="array" ref="D305">INDEX(salesmonthly!$B$1:$I$1, MOD(ROW()-2,8)+1)</f>
        <v>R06</v>
      </c>
      <c r="E305" cm="1">
        <f t="array" ref="E305">INDEX(salesmonthly!$B$2:$I$5000, INT((ROW()-2)/8)+1, MOD(ROW()-2,8)+1)</f>
        <v>30.6</v>
      </c>
    </row>
    <row r="306" spans="1:5" x14ac:dyDescent="0.35">
      <c r="A306" s="1" cm="1">
        <f t="array" ref="A306">INDEX(salesmonthly!$A$2:$A$5000, INT((ROW()-2)/8)+1)</f>
        <v>42825</v>
      </c>
      <c r="B306" cm="1">
        <f t="array" ref="B306">INDEX(salesmonthly!$J$2:$J$5000, INT((ROW()-2)/8)+1)</f>
        <v>2017</v>
      </c>
      <c r="C306" cm="1">
        <f t="array" ref="C306">INDEX(salesmonthly!$K$2:$K$5000, INT((ROW()-2)/8)+1)</f>
        <v>3</v>
      </c>
      <c r="D306" t="str" cm="1">
        <f t="array" ref="D306">INDEX(salesmonthly!$B$1:$I$1, MOD(ROW()-2,8)+1)</f>
        <v>M01AB</v>
      </c>
      <c r="E306" t="str" cm="1">
        <f t="array" ref="E306">INDEX(salesmonthly!$B$2:$I$5000, INT((ROW()-2)/8)+1, MOD(ROW()-2,8)+1)</f>
        <v>162.85000000000002</v>
      </c>
    </row>
    <row r="307" spans="1:5" x14ac:dyDescent="0.35">
      <c r="A307" s="1" cm="1">
        <f t="array" ref="A307">INDEX(salesmonthly!$A$2:$A$5000, INT((ROW()-2)/8)+1)</f>
        <v>42825</v>
      </c>
      <c r="B307" cm="1">
        <f t="array" ref="B307">INDEX(salesmonthly!$J$2:$J$5000, INT((ROW()-2)/8)+1)</f>
        <v>2017</v>
      </c>
      <c r="C307" cm="1">
        <f t="array" ref="C307">INDEX(salesmonthly!$K$2:$K$5000, INT((ROW()-2)/8)+1)</f>
        <v>3</v>
      </c>
      <c r="D307" t="str" cm="1">
        <f t="array" ref="D307">INDEX(salesmonthly!$B$1:$I$1, MOD(ROW()-2,8)+1)</f>
        <v>M01AE</v>
      </c>
      <c r="E307" cm="1">
        <f t="array" ref="E307">INDEX(salesmonthly!$B$2:$I$5000, INT((ROW()-2)/8)+1, MOD(ROW()-2,8)+1)</f>
        <v>111.05500000000001</v>
      </c>
    </row>
    <row r="308" spans="1:5" x14ac:dyDescent="0.35">
      <c r="A308" s="1" cm="1">
        <f t="array" ref="A308">INDEX(salesmonthly!$A$2:$A$5000, INT((ROW()-2)/8)+1)</f>
        <v>42825</v>
      </c>
      <c r="B308" cm="1">
        <f t="array" ref="B308">INDEX(salesmonthly!$J$2:$J$5000, INT((ROW()-2)/8)+1)</f>
        <v>2017</v>
      </c>
      <c r="C308" cm="1">
        <f t="array" ref="C308">INDEX(salesmonthly!$K$2:$K$5000, INT((ROW()-2)/8)+1)</f>
        <v>3</v>
      </c>
      <c r="D308" t="str" cm="1">
        <f t="array" ref="D308">INDEX(salesmonthly!$B$1:$I$1, MOD(ROW()-2,8)+1)</f>
        <v>N02BA</v>
      </c>
      <c r="E308" t="str" cm="1">
        <f t="array" ref="E308">INDEX(salesmonthly!$B$2:$I$5000, INT((ROW()-2)/8)+1, MOD(ROW()-2,8)+1)</f>
        <v>107.35000000000001</v>
      </c>
    </row>
    <row r="309" spans="1:5" x14ac:dyDescent="0.35">
      <c r="A309" s="1" cm="1">
        <f t="array" ref="A309">INDEX(salesmonthly!$A$2:$A$5000, INT((ROW()-2)/8)+1)</f>
        <v>42825</v>
      </c>
      <c r="B309" cm="1">
        <f t="array" ref="B309">INDEX(salesmonthly!$J$2:$J$5000, INT((ROW()-2)/8)+1)</f>
        <v>2017</v>
      </c>
      <c r="C309" cm="1">
        <f t="array" ref="C309">INDEX(salesmonthly!$K$2:$K$5000, INT((ROW()-2)/8)+1)</f>
        <v>3</v>
      </c>
      <c r="D309" t="str" cm="1">
        <f t="array" ref="D309">INDEX(salesmonthly!$B$1:$I$1, MOD(ROW()-2,8)+1)</f>
        <v>N02BE</v>
      </c>
      <c r="E309" t="str" cm="1">
        <f t="array" ref="E309">INDEX(salesmonthly!$B$2:$I$5000, INT((ROW()-2)/8)+1, MOD(ROW()-2,8)+1)</f>
        <v>612.5000000000002</v>
      </c>
    </row>
    <row r="310" spans="1:5" x14ac:dyDescent="0.35">
      <c r="A310" s="1" cm="1">
        <f t="array" ref="A310">INDEX(salesmonthly!$A$2:$A$5000, INT((ROW()-2)/8)+1)</f>
        <v>42825</v>
      </c>
      <c r="B310" cm="1">
        <f t="array" ref="B310">INDEX(salesmonthly!$J$2:$J$5000, INT((ROW()-2)/8)+1)</f>
        <v>2017</v>
      </c>
      <c r="C310" cm="1">
        <f t="array" ref="C310">INDEX(salesmonthly!$K$2:$K$5000, INT((ROW()-2)/8)+1)</f>
        <v>3</v>
      </c>
      <c r="D310" t="str" cm="1">
        <f t="array" ref="D310">INDEX(salesmonthly!$B$1:$I$1, MOD(ROW()-2,8)+1)</f>
        <v>N05B</v>
      </c>
      <c r="E310" cm="1">
        <f t="array" ref="E310">INDEX(salesmonthly!$B$2:$I$5000, INT((ROW()-2)/8)+1, MOD(ROW()-2,8)+1)</f>
        <v>165</v>
      </c>
    </row>
    <row r="311" spans="1:5" x14ac:dyDescent="0.35">
      <c r="A311" s="1" cm="1">
        <f t="array" ref="A311">INDEX(salesmonthly!$A$2:$A$5000, INT((ROW()-2)/8)+1)</f>
        <v>42825</v>
      </c>
      <c r="B311" cm="1">
        <f t="array" ref="B311">INDEX(salesmonthly!$J$2:$J$5000, INT((ROW()-2)/8)+1)</f>
        <v>2017</v>
      </c>
      <c r="C311" cm="1">
        <f t="array" ref="C311">INDEX(salesmonthly!$K$2:$K$5000, INT((ROW()-2)/8)+1)</f>
        <v>3</v>
      </c>
      <c r="D311" t="str" cm="1">
        <f t="array" ref="D311">INDEX(salesmonthly!$B$1:$I$1, MOD(ROW()-2,8)+1)</f>
        <v>N05C</v>
      </c>
      <c r="E311" cm="1">
        <f t="array" ref="E311">INDEX(salesmonthly!$B$2:$I$5000, INT((ROW()-2)/8)+1, MOD(ROW()-2,8)+1)</f>
        <v>9</v>
      </c>
    </row>
    <row r="312" spans="1:5" x14ac:dyDescent="0.35">
      <c r="A312" s="1" cm="1">
        <f t="array" ref="A312">INDEX(salesmonthly!$A$2:$A$5000, INT((ROW()-2)/8)+1)</f>
        <v>42825</v>
      </c>
      <c r="B312" cm="1">
        <f t="array" ref="B312">INDEX(salesmonthly!$J$2:$J$5000, INT((ROW()-2)/8)+1)</f>
        <v>2017</v>
      </c>
      <c r="C312" cm="1">
        <f t="array" ref="C312">INDEX(salesmonthly!$K$2:$K$5000, INT((ROW()-2)/8)+1)</f>
        <v>3</v>
      </c>
      <c r="D312" t="str" cm="1">
        <f t="array" ref="D312">INDEX(salesmonthly!$B$1:$I$1, MOD(ROW()-2,8)+1)</f>
        <v>R03</v>
      </c>
      <c r="E312" cm="1">
        <f t="array" ref="E312">INDEX(salesmonthly!$B$2:$I$5000, INT((ROW()-2)/8)+1, MOD(ROW()-2,8)+1)</f>
        <v>139</v>
      </c>
    </row>
    <row r="313" spans="1:5" x14ac:dyDescent="0.35">
      <c r="A313" s="1" cm="1">
        <f t="array" ref="A313">INDEX(salesmonthly!$A$2:$A$5000, INT((ROW()-2)/8)+1)</f>
        <v>42825</v>
      </c>
      <c r="B313" cm="1">
        <f t="array" ref="B313">INDEX(salesmonthly!$J$2:$J$5000, INT((ROW()-2)/8)+1)</f>
        <v>2017</v>
      </c>
      <c r="C313" cm="1">
        <f t="array" ref="C313">INDEX(salesmonthly!$K$2:$K$5000, INT((ROW()-2)/8)+1)</f>
        <v>3</v>
      </c>
      <c r="D313" t="str" cm="1">
        <f t="array" ref="D313">INDEX(salesmonthly!$B$1:$I$1, MOD(ROW()-2,8)+1)</f>
        <v>R06</v>
      </c>
      <c r="E313" cm="1">
        <f t="array" ref="E313">INDEX(salesmonthly!$B$2:$I$5000, INT((ROW()-2)/8)+1, MOD(ROW()-2,8)+1)</f>
        <v>100.1</v>
      </c>
    </row>
    <row r="314" spans="1:5" x14ac:dyDescent="0.35">
      <c r="A314" s="1" cm="1">
        <f t="array" ref="A314">INDEX(salesmonthly!$A$2:$A$5000, INT((ROW()-2)/8)+1)</f>
        <v>42855</v>
      </c>
      <c r="B314" cm="1">
        <f t="array" ref="B314">INDEX(salesmonthly!$J$2:$J$5000, INT((ROW()-2)/8)+1)</f>
        <v>2017</v>
      </c>
      <c r="C314" cm="1">
        <f t="array" ref="C314">INDEX(salesmonthly!$K$2:$K$5000, INT((ROW()-2)/8)+1)</f>
        <v>4</v>
      </c>
      <c r="D314" t="str" cm="1">
        <f t="array" ref="D314">INDEX(salesmonthly!$B$1:$I$1, MOD(ROW()-2,8)+1)</f>
        <v>M01AB</v>
      </c>
      <c r="E314" t="str" cm="1">
        <f t="array" ref="E314">INDEX(salesmonthly!$B$2:$I$5000, INT((ROW()-2)/8)+1, MOD(ROW()-2,8)+1)</f>
        <v>155.61000000000004</v>
      </c>
    </row>
    <row r="315" spans="1:5" x14ac:dyDescent="0.35">
      <c r="A315" s="1" cm="1">
        <f t="array" ref="A315">INDEX(salesmonthly!$A$2:$A$5000, INT((ROW()-2)/8)+1)</f>
        <v>42855</v>
      </c>
      <c r="B315" cm="1">
        <f t="array" ref="B315">INDEX(salesmonthly!$J$2:$J$5000, INT((ROW()-2)/8)+1)</f>
        <v>2017</v>
      </c>
      <c r="C315" cm="1">
        <f t="array" ref="C315">INDEX(salesmonthly!$K$2:$K$5000, INT((ROW()-2)/8)+1)</f>
        <v>4</v>
      </c>
      <c r="D315" t="str" cm="1">
        <f t="array" ref="D315">INDEX(salesmonthly!$B$1:$I$1, MOD(ROW()-2,8)+1)</f>
        <v>M01AE</v>
      </c>
      <c r="E315" t="str" cm="1">
        <f t="array" ref="E315">INDEX(salesmonthly!$B$2:$I$5000, INT((ROW()-2)/8)+1, MOD(ROW()-2,8)+1)</f>
        <v>101.21500000000002</v>
      </c>
    </row>
    <row r="316" spans="1:5" x14ac:dyDescent="0.35">
      <c r="A316" s="1" cm="1">
        <f t="array" ref="A316">INDEX(salesmonthly!$A$2:$A$5000, INT((ROW()-2)/8)+1)</f>
        <v>42855</v>
      </c>
      <c r="B316" cm="1">
        <f t="array" ref="B316">INDEX(salesmonthly!$J$2:$J$5000, INT((ROW()-2)/8)+1)</f>
        <v>2017</v>
      </c>
      <c r="C316" cm="1">
        <f t="array" ref="C316">INDEX(salesmonthly!$K$2:$K$5000, INT((ROW()-2)/8)+1)</f>
        <v>4</v>
      </c>
      <c r="D316" t="str" cm="1">
        <f t="array" ref="D316">INDEX(salesmonthly!$B$1:$I$1, MOD(ROW()-2,8)+1)</f>
        <v>N02BA</v>
      </c>
      <c r="E316" cm="1">
        <f t="array" ref="E316">INDEX(salesmonthly!$B$2:$I$5000, INT((ROW()-2)/8)+1, MOD(ROW()-2,8)+1)</f>
        <v>100.5</v>
      </c>
    </row>
    <row r="317" spans="1:5" x14ac:dyDescent="0.35">
      <c r="A317" s="1" cm="1">
        <f t="array" ref="A317">INDEX(salesmonthly!$A$2:$A$5000, INT((ROW()-2)/8)+1)</f>
        <v>42855</v>
      </c>
      <c r="B317" cm="1">
        <f t="array" ref="B317">INDEX(salesmonthly!$J$2:$J$5000, INT((ROW()-2)/8)+1)</f>
        <v>2017</v>
      </c>
      <c r="C317" cm="1">
        <f t="array" ref="C317">INDEX(salesmonthly!$K$2:$K$5000, INT((ROW()-2)/8)+1)</f>
        <v>4</v>
      </c>
      <c r="D317" t="str" cm="1">
        <f t="array" ref="D317">INDEX(salesmonthly!$B$1:$I$1, MOD(ROW()-2,8)+1)</f>
        <v>N02BE</v>
      </c>
      <c r="E317" t="str" cm="1">
        <f t="array" ref="E317">INDEX(salesmonthly!$B$2:$I$5000, INT((ROW()-2)/8)+1, MOD(ROW()-2,8)+1)</f>
        <v>540.1999999999998</v>
      </c>
    </row>
    <row r="318" spans="1:5" x14ac:dyDescent="0.35">
      <c r="A318" s="1" cm="1">
        <f t="array" ref="A318">INDEX(salesmonthly!$A$2:$A$5000, INT((ROW()-2)/8)+1)</f>
        <v>42855</v>
      </c>
      <c r="B318" cm="1">
        <f t="array" ref="B318">INDEX(salesmonthly!$J$2:$J$5000, INT((ROW()-2)/8)+1)</f>
        <v>2017</v>
      </c>
      <c r="C318" cm="1">
        <f t="array" ref="C318">INDEX(salesmonthly!$K$2:$K$5000, INT((ROW()-2)/8)+1)</f>
        <v>4</v>
      </c>
      <c r="D318" t="str" cm="1">
        <f t="array" ref="D318">INDEX(salesmonthly!$B$1:$I$1, MOD(ROW()-2,8)+1)</f>
        <v>N05B</v>
      </c>
      <c r="E318" cm="1">
        <f t="array" ref="E318">INDEX(salesmonthly!$B$2:$I$5000, INT((ROW()-2)/8)+1, MOD(ROW()-2,8)+1)</f>
        <v>132</v>
      </c>
    </row>
    <row r="319" spans="1:5" x14ac:dyDescent="0.35">
      <c r="A319" s="1" cm="1">
        <f t="array" ref="A319">INDEX(salesmonthly!$A$2:$A$5000, INT((ROW()-2)/8)+1)</f>
        <v>42855</v>
      </c>
      <c r="B319" cm="1">
        <f t="array" ref="B319">INDEX(salesmonthly!$J$2:$J$5000, INT((ROW()-2)/8)+1)</f>
        <v>2017</v>
      </c>
      <c r="C319" cm="1">
        <f t="array" ref="C319">INDEX(salesmonthly!$K$2:$K$5000, INT((ROW()-2)/8)+1)</f>
        <v>4</v>
      </c>
      <c r="D319" t="str" cm="1">
        <f t="array" ref="D319">INDEX(salesmonthly!$B$1:$I$1, MOD(ROW()-2,8)+1)</f>
        <v>N05C</v>
      </c>
      <c r="E319" cm="1">
        <f t="array" ref="E319">INDEX(salesmonthly!$B$2:$I$5000, INT((ROW()-2)/8)+1, MOD(ROW()-2,8)+1)</f>
        <v>9</v>
      </c>
    </row>
    <row r="320" spans="1:5" x14ac:dyDescent="0.35">
      <c r="A320" s="1" cm="1">
        <f t="array" ref="A320">INDEX(salesmonthly!$A$2:$A$5000, INT((ROW()-2)/8)+1)</f>
        <v>42855</v>
      </c>
      <c r="B320" cm="1">
        <f t="array" ref="B320">INDEX(salesmonthly!$J$2:$J$5000, INT((ROW()-2)/8)+1)</f>
        <v>2017</v>
      </c>
      <c r="C320" cm="1">
        <f t="array" ref="C320">INDEX(salesmonthly!$K$2:$K$5000, INT((ROW()-2)/8)+1)</f>
        <v>4</v>
      </c>
      <c r="D320" t="str" cm="1">
        <f t="array" ref="D320">INDEX(salesmonthly!$B$1:$I$1, MOD(ROW()-2,8)+1)</f>
        <v>R03</v>
      </c>
      <c r="E320" cm="1">
        <f t="array" ref="E320">INDEX(salesmonthly!$B$2:$I$5000, INT((ROW()-2)/8)+1, MOD(ROW()-2,8)+1)</f>
        <v>209</v>
      </c>
    </row>
    <row r="321" spans="1:5" x14ac:dyDescent="0.35">
      <c r="A321" s="1" cm="1">
        <f t="array" ref="A321">INDEX(salesmonthly!$A$2:$A$5000, INT((ROW()-2)/8)+1)</f>
        <v>42855</v>
      </c>
      <c r="B321" cm="1">
        <f t="array" ref="B321">INDEX(salesmonthly!$J$2:$J$5000, INT((ROW()-2)/8)+1)</f>
        <v>2017</v>
      </c>
      <c r="C321" cm="1">
        <f t="array" ref="C321">INDEX(salesmonthly!$K$2:$K$5000, INT((ROW()-2)/8)+1)</f>
        <v>4</v>
      </c>
      <c r="D321" t="str" cm="1">
        <f t="array" ref="D321">INDEX(salesmonthly!$B$1:$I$1, MOD(ROW()-2,8)+1)</f>
        <v>R06</v>
      </c>
      <c r="E321" t="str" cm="1">
        <f t="array" ref="E321">INDEX(salesmonthly!$B$2:$I$5000, INT((ROW()-2)/8)+1, MOD(ROW()-2,8)+1)</f>
        <v>122.39999999999999</v>
      </c>
    </row>
    <row r="322" spans="1:5" x14ac:dyDescent="0.35">
      <c r="A322" s="1" cm="1">
        <f t="array" ref="A322">INDEX(salesmonthly!$A$2:$A$5000, INT((ROW()-2)/8)+1)</f>
        <v>42886</v>
      </c>
      <c r="B322" cm="1">
        <f t="array" ref="B322">INDEX(salesmonthly!$J$2:$J$5000, INT((ROW()-2)/8)+1)</f>
        <v>2017</v>
      </c>
      <c r="C322" cm="1">
        <f t="array" ref="C322">INDEX(salesmonthly!$K$2:$K$5000, INT((ROW()-2)/8)+1)</f>
        <v>5</v>
      </c>
      <c r="D322" t="str" cm="1">
        <f t="array" ref="D322">INDEX(salesmonthly!$B$1:$I$1, MOD(ROW()-2,8)+1)</f>
        <v>M01AB</v>
      </c>
      <c r="E322" cm="1">
        <f t="array" ref="E322">INDEX(salesmonthly!$B$2:$I$5000, INT((ROW()-2)/8)+1, MOD(ROW()-2,8)+1)</f>
        <v>143.66</v>
      </c>
    </row>
    <row r="323" spans="1:5" x14ac:dyDescent="0.35">
      <c r="A323" s="1" cm="1">
        <f t="array" ref="A323">INDEX(salesmonthly!$A$2:$A$5000, INT((ROW()-2)/8)+1)</f>
        <v>42886</v>
      </c>
      <c r="B323" cm="1">
        <f t="array" ref="B323">INDEX(salesmonthly!$J$2:$J$5000, INT((ROW()-2)/8)+1)</f>
        <v>2017</v>
      </c>
      <c r="C323" cm="1">
        <f t="array" ref="C323">INDEX(salesmonthly!$K$2:$K$5000, INT((ROW()-2)/8)+1)</f>
        <v>5</v>
      </c>
      <c r="D323" t="str" cm="1">
        <f t="array" ref="D323">INDEX(salesmonthly!$B$1:$I$1, MOD(ROW()-2,8)+1)</f>
        <v>M01AE</v>
      </c>
      <c r="E323" t="str" cm="1">
        <f t="array" ref="E323">INDEX(salesmonthly!$B$2:$I$5000, INT((ROW()-2)/8)+1, MOD(ROW()-2,8)+1)</f>
        <v>118.12500000000006</v>
      </c>
    </row>
    <row r="324" spans="1:5" x14ac:dyDescent="0.35">
      <c r="A324" s="1" cm="1">
        <f t="array" ref="A324">INDEX(salesmonthly!$A$2:$A$5000, INT((ROW()-2)/8)+1)</f>
        <v>42886</v>
      </c>
      <c r="B324" cm="1">
        <f t="array" ref="B324">INDEX(salesmonthly!$J$2:$J$5000, INT((ROW()-2)/8)+1)</f>
        <v>2017</v>
      </c>
      <c r="C324" cm="1">
        <f t="array" ref="C324">INDEX(salesmonthly!$K$2:$K$5000, INT((ROW()-2)/8)+1)</f>
        <v>5</v>
      </c>
      <c r="D324" t="str" cm="1">
        <f t="array" ref="D324">INDEX(salesmonthly!$B$1:$I$1, MOD(ROW()-2,8)+1)</f>
        <v>N02BA</v>
      </c>
      <c r="E324" cm="1">
        <f t="array" ref="E324">INDEX(salesmonthly!$B$2:$I$5000, INT((ROW()-2)/8)+1, MOD(ROW()-2,8)+1)</f>
        <v>98.95</v>
      </c>
    </row>
    <row r="325" spans="1:5" x14ac:dyDescent="0.35">
      <c r="A325" s="1" cm="1">
        <f t="array" ref="A325">INDEX(salesmonthly!$A$2:$A$5000, INT((ROW()-2)/8)+1)</f>
        <v>42886</v>
      </c>
      <c r="B325" cm="1">
        <f t="array" ref="B325">INDEX(salesmonthly!$J$2:$J$5000, INT((ROW()-2)/8)+1)</f>
        <v>2017</v>
      </c>
      <c r="C325" cm="1">
        <f t="array" ref="C325">INDEX(salesmonthly!$K$2:$K$5000, INT((ROW()-2)/8)+1)</f>
        <v>5</v>
      </c>
      <c r="D325" t="str" cm="1">
        <f t="array" ref="D325">INDEX(salesmonthly!$B$1:$I$1, MOD(ROW()-2,8)+1)</f>
        <v>N02BE</v>
      </c>
      <c r="E325" t="str" cm="1">
        <f t="array" ref="E325">INDEX(salesmonthly!$B$2:$I$5000, INT((ROW()-2)/8)+1, MOD(ROW()-2,8)+1)</f>
        <v>547.9399999999998</v>
      </c>
    </row>
    <row r="326" spans="1:5" x14ac:dyDescent="0.35">
      <c r="A326" s="1" cm="1">
        <f t="array" ref="A326">INDEX(salesmonthly!$A$2:$A$5000, INT((ROW()-2)/8)+1)</f>
        <v>42886</v>
      </c>
      <c r="B326" cm="1">
        <f t="array" ref="B326">INDEX(salesmonthly!$J$2:$J$5000, INT((ROW()-2)/8)+1)</f>
        <v>2017</v>
      </c>
      <c r="C326" cm="1">
        <f t="array" ref="C326">INDEX(salesmonthly!$K$2:$K$5000, INT((ROW()-2)/8)+1)</f>
        <v>5</v>
      </c>
      <c r="D326" t="str" cm="1">
        <f t="array" ref="D326">INDEX(salesmonthly!$B$1:$I$1, MOD(ROW()-2,8)+1)</f>
        <v>N05B</v>
      </c>
      <c r="E326" cm="1">
        <f t="array" ref="E326">INDEX(salesmonthly!$B$2:$I$5000, INT((ROW()-2)/8)+1, MOD(ROW()-2,8)+1)</f>
        <v>148</v>
      </c>
    </row>
    <row r="327" spans="1:5" x14ac:dyDescent="0.35">
      <c r="A327" s="1" cm="1">
        <f t="array" ref="A327">INDEX(salesmonthly!$A$2:$A$5000, INT((ROW()-2)/8)+1)</f>
        <v>42886</v>
      </c>
      <c r="B327" cm="1">
        <f t="array" ref="B327">INDEX(salesmonthly!$J$2:$J$5000, INT((ROW()-2)/8)+1)</f>
        <v>2017</v>
      </c>
      <c r="C327" cm="1">
        <f t="array" ref="C327">INDEX(salesmonthly!$K$2:$K$5000, INT((ROW()-2)/8)+1)</f>
        <v>5</v>
      </c>
      <c r="D327" t="str" cm="1">
        <f t="array" ref="D327">INDEX(salesmonthly!$B$1:$I$1, MOD(ROW()-2,8)+1)</f>
        <v>N05C</v>
      </c>
      <c r="E327" cm="1">
        <f t="array" ref="E327">INDEX(salesmonthly!$B$2:$I$5000, INT((ROW()-2)/8)+1, MOD(ROW()-2,8)+1)</f>
        <v>23</v>
      </c>
    </row>
    <row r="328" spans="1:5" x14ac:dyDescent="0.35">
      <c r="A328" s="1" cm="1">
        <f t="array" ref="A328">INDEX(salesmonthly!$A$2:$A$5000, INT((ROW()-2)/8)+1)</f>
        <v>42886</v>
      </c>
      <c r="B328" cm="1">
        <f t="array" ref="B328">INDEX(salesmonthly!$J$2:$J$5000, INT((ROW()-2)/8)+1)</f>
        <v>2017</v>
      </c>
      <c r="C328" cm="1">
        <f t="array" ref="C328">INDEX(salesmonthly!$K$2:$K$5000, INT((ROW()-2)/8)+1)</f>
        <v>5</v>
      </c>
      <c r="D328" t="str" cm="1">
        <f t="array" ref="D328">INDEX(salesmonthly!$B$1:$I$1, MOD(ROW()-2,8)+1)</f>
        <v>R03</v>
      </c>
      <c r="E328" cm="1">
        <f t="array" ref="E328">INDEX(salesmonthly!$B$2:$I$5000, INT((ROW()-2)/8)+1, MOD(ROW()-2,8)+1)</f>
        <v>128</v>
      </c>
    </row>
    <row r="329" spans="1:5" x14ac:dyDescent="0.35">
      <c r="A329" s="1" cm="1">
        <f t="array" ref="A329">INDEX(salesmonthly!$A$2:$A$5000, INT((ROW()-2)/8)+1)</f>
        <v>42886</v>
      </c>
      <c r="B329" cm="1">
        <f t="array" ref="B329">INDEX(salesmonthly!$J$2:$J$5000, INT((ROW()-2)/8)+1)</f>
        <v>2017</v>
      </c>
      <c r="C329" cm="1">
        <f t="array" ref="C329">INDEX(salesmonthly!$K$2:$K$5000, INT((ROW()-2)/8)+1)</f>
        <v>5</v>
      </c>
      <c r="D329" t="str" cm="1">
        <f t="array" ref="D329">INDEX(salesmonthly!$B$1:$I$1, MOD(ROW()-2,8)+1)</f>
        <v>R06</v>
      </c>
      <c r="E329" cm="1">
        <f t="array" ref="E329">INDEX(salesmonthly!$B$2:$I$5000, INT((ROW()-2)/8)+1, MOD(ROW()-2,8)+1)</f>
        <v>161.81</v>
      </c>
    </row>
    <row r="330" spans="1:5" x14ac:dyDescent="0.35">
      <c r="A330" s="1" cm="1">
        <f t="array" ref="A330">INDEX(salesmonthly!$A$2:$A$5000, INT((ROW()-2)/8)+1)</f>
        <v>42916</v>
      </c>
      <c r="B330" cm="1">
        <f t="array" ref="B330">INDEX(salesmonthly!$J$2:$J$5000, INT((ROW()-2)/8)+1)</f>
        <v>2017</v>
      </c>
      <c r="C330" cm="1">
        <f t="array" ref="C330">INDEX(salesmonthly!$K$2:$K$5000, INT((ROW()-2)/8)+1)</f>
        <v>6</v>
      </c>
      <c r="D330" t="str" cm="1">
        <f t="array" ref="D330">INDEX(salesmonthly!$B$1:$I$1, MOD(ROW()-2,8)+1)</f>
        <v>M01AB</v>
      </c>
      <c r="E330" cm="1">
        <f t="array" ref="E330">INDEX(salesmonthly!$B$2:$I$5000, INT((ROW()-2)/8)+1, MOD(ROW()-2,8)+1)</f>
        <v>122.33</v>
      </c>
    </row>
    <row r="331" spans="1:5" x14ac:dyDescent="0.35">
      <c r="A331" s="1" cm="1">
        <f t="array" ref="A331">INDEX(salesmonthly!$A$2:$A$5000, INT((ROW()-2)/8)+1)</f>
        <v>42916</v>
      </c>
      <c r="B331" cm="1">
        <f t="array" ref="B331">INDEX(salesmonthly!$J$2:$J$5000, INT((ROW()-2)/8)+1)</f>
        <v>2017</v>
      </c>
      <c r="C331" cm="1">
        <f t="array" ref="C331">INDEX(salesmonthly!$K$2:$K$5000, INT((ROW()-2)/8)+1)</f>
        <v>6</v>
      </c>
      <c r="D331" t="str" cm="1">
        <f t="array" ref="D331">INDEX(salesmonthly!$B$1:$I$1, MOD(ROW()-2,8)+1)</f>
        <v>M01AE</v>
      </c>
      <c r="E331" t="str" cm="1">
        <f t="array" ref="E331">INDEX(salesmonthly!$B$2:$I$5000, INT((ROW()-2)/8)+1, MOD(ROW()-2,8)+1)</f>
        <v>103.00599999999999</v>
      </c>
    </row>
    <row r="332" spans="1:5" x14ac:dyDescent="0.35">
      <c r="A332" s="1" cm="1">
        <f t="array" ref="A332">INDEX(salesmonthly!$A$2:$A$5000, INT((ROW()-2)/8)+1)</f>
        <v>42916</v>
      </c>
      <c r="B332" cm="1">
        <f t="array" ref="B332">INDEX(salesmonthly!$J$2:$J$5000, INT((ROW()-2)/8)+1)</f>
        <v>2017</v>
      </c>
      <c r="C332" cm="1">
        <f t="array" ref="C332">INDEX(salesmonthly!$K$2:$K$5000, INT((ROW()-2)/8)+1)</f>
        <v>6</v>
      </c>
      <c r="D332" t="str" cm="1">
        <f t="array" ref="D332">INDEX(salesmonthly!$B$1:$I$1, MOD(ROW()-2,8)+1)</f>
        <v>N02BA</v>
      </c>
      <c r="E332" cm="1">
        <f t="array" ref="E332">INDEX(salesmonthly!$B$2:$I$5000, INT((ROW()-2)/8)+1, MOD(ROW()-2,8)+1)</f>
        <v>119.6</v>
      </c>
    </row>
    <row r="333" spans="1:5" x14ac:dyDescent="0.35">
      <c r="A333" s="1" cm="1">
        <f t="array" ref="A333">INDEX(salesmonthly!$A$2:$A$5000, INT((ROW()-2)/8)+1)</f>
        <v>42916</v>
      </c>
      <c r="B333" cm="1">
        <f t="array" ref="B333">INDEX(salesmonthly!$J$2:$J$5000, INT((ROW()-2)/8)+1)</f>
        <v>2017</v>
      </c>
      <c r="C333" cm="1">
        <f t="array" ref="C333">INDEX(salesmonthly!$K$2:$K$5000, INT((ROW()-2)/8)+1)</f>
        <v>6</v>
      </c>
      <c r="D333" t="str" cm="1">
        <f t="array" ref="D333">INDEX(salesmonthly!$B$1:$I$1, MOD(ROW()-2,8)+1)</f>
        <v>N02BE</v>
      </c>
      <c r="E333" cm="1">
        <f t="array" ref="E333">INDEX(salesmonthly!$B$2:$I$5000, INT((ROW()-2)/8)+1, MOD(ROW()-2,8)+1)</f>
        <v>496.1</v>
      </c>
    </row>
    <row r="334" spans="1:5" x14ac:dyDescent="0.35">
      <c r="A334" s="1" cm="1">
        <f t="array" ref="A334">INDEX(salesmonthly!$A$2:$A$5000, INT((ROW()-2)/8)+1)</f>
        <v>42916</v>
      </c>
      <c r="B334" cm="1">
        <f t="array" ref="B334">INDEX(salesmonthly!$J$2:$J$5000, INT((ROW()-2)/8)+1)</f>
        <v>2017</v>
      </c>
      <c r="C334" cm="1">
        <f t="array" ref="C334">INDEX(salesmonthly!$K$2:$K$5000, INT((ROW()-2)/8)+1)</f>
        <v>6</v>
      </c>
      <c r="D334" t="str" cm="1">
        <f t="array" ref="D334">INDEX(salesmonthly!$B$1:$I$1, MOD(ROW()-2,8)+1)</f>
        <v>N05B</v>
      </c>
      <c r="E334" cm="1">
        <f t="array" ref="E334">INDEX(salesmonthly!$B$2:$I$5000, INT((ROW()-2)/8)+1, MOD(ROW()-2,8)+1)</f>
        <v>163</v>
      </c>
    </row>
    <row r="335" spans="1:5" x14ac:dyDescent="0.35">
      <c r="A335" s="1" cm="1">
        <f t="array" ref="A335">INDEX(salesmonthly!$A$2:$A$5000, INT((ROW()-2)/8)+1)</f>
        <v>42916</v>
      </c>
      <c r="B335" cm="1">
        <f t="array" ref="B335">INDEX(salesmonthly!$J$2:$J$5000, INT((ROW()-2)/8)+1)</f>
        <v>2017</v>
      </c>
      <c r="C335" cm="1">
        <f t="array" ref="C335">INDEX(salesmonthly!$K$2:$K$5000, INT((ROW()-2)/8)+1)</f>
        <v>6</v>
      </c>
      <c r="D335" t="str" cm="1">
        <f t="array" ref="D335">INDEX(salesmonthly!$B$1:$I$1, MOD(ROW()-2,8)+1)</f>
        <v>N05C</v>
      </c>
      <c r="E335" cm="1">
        <f t="array" ref="E335">INDEX(salesmonthly!$B$2:$I$5000, INT((ROW()-2)/8)+1, MOD(ROW()-2,8)+1)</f>
        <v>8</v>
      </c>
    </row>
    <row r="336" spans="1:5" x14ac:dyDescent="0.35">
      <c r="A336" s="1" cm="1">
        <f t="array" ref="A336">INDEX(salesmonthly!$A$2:$A$5000, INT((ROW()-2)/8)+1)</f>
        <v>42916</v>
      </c>
      <c r="B336" cm="1">
        <f t="array" ref="B336">INDEX(salesmonthly!$J$2:$J$5000, INT((ROW()-2)/8)+1)</f>
        <v>2017</v>
      </c>
      <c r="C336" cm="1">
        <f t="array" ref="C336">INDEX(salesmonthly!$K$2:$K$5000, INT((ROW()-2)/8)+1)</f>
        <v>6</v>
      </c>
      <c r="D336" t="str" cm="1">
        <f t="array" ref="D336">INDEX(salesmonthly!$B$1:$I$1, MOD(ROW()-2,8)+1)</f>
        <v>R03</v>
      </c>
      <c r="E336" cm="1">
        <f t="array" ref="E336">INDEX(salesmonthly!$B$2:$I$5000, INT((ROW()-2)/8)+1, MOD(ROW()-2,8)+1)</f>
        <v>163</v>
      </c>
    </row>
    <row r="337" spans="1:5" x14ac:dyDescent="0.35">
      <c r="A337" s="1" cm="1">
        <f t="array" ref="A337">INDEX(salesmonthly!$A$2:$A$5000, INT((ROW()-2)/8)+1)</f>
        <v>42916</v>
      </c>
      <c r="B337" cm="1">
        <f t="array" ref="B337">INDEX(salesmonthly!$J$2:$J$5000, INT((ROW()-2)/8)+1)</f>
        <v>2017</v>
      </c>
      <c r="C337" cm="1">
        <f t="array" ref="C337">INDEX(salesmonthly!$K$2:$K$5000, INT((ROW()-2)/8)+1)</f>
        <v>6</v>
      </c>
      <c r="D337" t="str" cm="1">
        <f t="array" ref="D337">INDEX(salesmonthly!$B$1:$I$1, MOD(ROW()-2,8)+1)</f>
        <v>R06</v>
      </c>
      <c r="E337" t="str" cm="1">
        <f t="array" ref="E337">INDEX(salesmonthly!$B$2:$I$5000, INT((ROW()-2)/8)+1, MOD(ROW()-2,8)+1)</f>
        <v>151.89999999999998</v>
      </c>
    </row>
    <row r="338" spans="1:5" x14ac:dyDescent="0.35">
      <c r="A338" s="1" cm="1">
        <f t="array" ref="A338">INDEX(salesmonthly!$A$2:$A$5000, INT((ROW()-2)/8)+1)</f>
        <v>42947</v>
      </c>
      <c r="B338" cm="1">
        <f t="array" ref="B338">INDEX(salesmonthly!$J$2:$J$5000, INT((ROW()-2)/8)+1)</f>
        <v>2017</v>
      </c>
      <c r="C338" cm="1">
        <f t="array" ref="C338">INDEX(salesmonthly!$K$2:$K$5000, INT((ROW()-2)/8)+1)</f>
        <v>7</v>
      </c>
      <c r="D338" t="str" cm="1">
        <f t="array" ref="D338">INDEX(salesmonthly!$B$1:$I$1, MOD(ROW()-2,8)+1)</f>
        <v>M01AB</v>
      </c>
      <c r="E338" cm="1">
        <f t="array" ref="E338">INDEX(salesmonthly!$B$2:$I$5000, INT((ROW()-2)/8)+1, MOD(ROW()-2,8)+1)</f>
        <v>159.66999999999999</v>
      </c>
    </row>
    <row r="339" spans="1:5" x14ac:dyDescent="0.35">
      <c r="A339" s="1" cm="1">
        <f t="array" ref="A339">INDEX(salesmonthly!$A$2:$A$5000, INT((ROW()-2)/8)+1)</f>
        <v>42947</v>
      </c>
      <c r="B339" cm="1">
        <f t="array" ref="B339">INDEX(salesmonthly!$J$2:$J$5000, INT((ROW()-2)/8)+1)</f>
        <v>2017</v>
      </c>
      <c r="C339" cm="1">
        <f t="array" ref="C339">INDEX(salesmonthly!$K$2:$K$5000, INT((ROW()-2)/8)+1)</f>
        <v>7</v>
      </c>
      <c r="D339" t="str" cm="1">
        <f t="array" ref="D339">INDEX(salesmonthly!$B$1:$I$1, MOD(ROW()-2,8)+1)</f>
        <v>M01AE</v>
      </c>
      <c r="E339" t="str" cm="1">
        <f t="array" ref="E339">INDEX(salesmonthly!$B$2:$I$5000, INT((ROW()-2)/8)+1, MOD(ROW()-2,8)+1)</f>
        <v>116.20600000000003</v>
      </c>
    </row>
    <row r="340" spans="1:5" x14ac:dyDescent="0.35">
      <c r="A340" s="1" cm="1">
        <f t="array" ref="A340">INDEX(salesmonthly!$A$2:$A$5000, INT((ROW()-2)/8)+1)</f>
        <v>42947</v>
      </c>
      <c r="B340" cm="1">
        <f t="array" ref="B340">INDEX(salesmonthly!$J$2:$J$5000, INT((ROW()-2)/8)+1)</f>
        <v>2017</v>
      </c>
      <c r="C340" cm="1">
        <f t="array" ref="C340">INDEX(salesmonthly!$K$2:$K$5000, INT((ROW()-2)/8)+1)</f>
        <v>7</v>
      </c>
      <c r="D340" t="str" cm="1">
        <f t="array" ref="D340">INDEX(salesmonthly!$B$1:$I$1, MOD(ROW()-2,8)+1)</f>
        <v>N02BA</v>
      </c>
      <c r="E340" t="str" cm="1">
        <f t="array" ref="E340">INDEX(salesmonthly!$B$2:$I$5000, INT((ROW()-2)/8)+1, MOD(ROW()-2,8)+1)</f>
        <v>75.19999999999999</v>
      </c>
    </row>
    <row r="341" spans="1:5" x14ac:dyDescent="0.35">
      <c r="A341" s="1" cm="1">
        <f t="array" ref="A341">INDEX(salesmonthly!$A$2:$A$5000, INT((ROW()-2)/8)+1)</f>
        <v>42947</v>
      </c>
      <c r="B341" cm="1">
        <f t="array" ref="B341">INDEX(salesmonthly!$J$2:$J$5000, INT((ROW()-2)/8)+1)</f>
        <v>2017</v>
      </c>
      <c r="C341" cm="1">
        <f t="array" ref="C341">INDEX(salesmonthly!$K$2:$K$5000, INT((ROW()-2)/8)+1)</f>
        <v>7</v>
      </c>
      <c r="D341" t="str" cm="1">
        <f t="array" ref="D341">INDEX(salesmonthly!$B$1:$I$1, MOD(ROW()-2,8)+1)</f>
        <v>N02BE</v>
      </c>
      <c r="E341" t="str" cm="1">
        <f t="array" ref="E341">INDEX(salesmonthly!$B$2:$I$5000, INT((ROW()-2)/8)+1, MOD(ROW()-2,8)+1)</f>
        <v>479.34999999999997</v>
      </c>
    </row>
    <row r="342" spans="1:5" x14ac:dyDescent="0.35">
      <c r="A342" s="1" cm="1">
        <f t="array" ref="A342">INDEX(salesmonthly!$A$2:$A$5000, INT((ROW()-2)/8)+1)</f>
        <v>42947</v>
      </c>
      <c r="B342" cm="1">
        <f t="array" ref="B342">INDEX(salesmonthly!$J$2:$J$5000, INT((ROW()-2)/8)+1)</f>
        <v>2017</v>
      </c>
      <c r="C342" cm="1">
        <f t="array" ref="C342">INDEX(salesmonthly!$K$2:$K$5000, INT((ROW()-2)/8)+1)</f>
        <v>7</v>
      </c>
      <c r="D342" t="str" cm="1">
        <f t="array" ref="D342">INDEX(salesmonthly!$B$1:$I$1, MOD(ROW()-2,8)+1)</f>
        <v>N05B</v>
      </c>
      <c r="E342" cm="1">
        <f t="array" ref="E342">INDEX(salesmonthly!$B$2:$I$5000, INT((ROW()-2)/8)+1, MOD(ROW()-2,8)+1)</f>
        <v>219</v>
      </c>
    </row>
    <row r="343" spans="1:5" x14ac:dyDescent="0.35">
      <c r="A343" s="1" cm="1">
        <f t="array" ref="A343">INDEX(salesmonthly!$A$2:$A$5000, INT((ROW()-2)/8)+1)</f>
        <v>42947</v>
      </c>
      <c r="B343" cm="1">
        <f t="array" ref="B343">INDEX(salesmonthly!$J$2:$J$5000, INT((ROW()-2)/8)+1)</f>
        <v>2017</v>
      </c>
      <c r="C343" cm="1">
        <f t="array" ref="C343">INDEX(salesmonthly!$K$2:$K$5000, INT((ROW()-2)/8)+1)</f>
        <v>7</v>
      </c>
      <c r="D343" t="str" cm="1">
        <f t="array" ref="D343">INDEX(salesmonthly!$B$1:$I$1, MOD(ROW()-2,8)+1)</f>
        <v>N05C</v>
      </c>
      <c r="E343" cm="1">
        <f t="array" ref="E343">INDEX(salesmonthly!$B$2:$I$5000, INT((ROW()-2)/8)+1, MOD(ROW()-2,8)+1)</f>
        <v>15</v>
      </c>
    </row>
    <row r="344" spans="1:5" x14ac:dyDescent="0.35">
      <c r="A344" s="1" cm="1">
        <f t="array" ref="A344">INDEX(salesmonthly!$A$2:$A$5000, INT((ROW()-2)/8)+1)</f>
        <v>42947</v>
      </c>
      <c r="B344" cm="1">
        <f t="array" ref="B344">INDEX(salesmonthly!$J$2:$J$5000, INT((ROW()-2)/8)+1)</f>
        <v>2017</v>
      </c>
      <c r="C344" cm="1">
        <f t="array" ref="C344">INDEX(salesmonthly!$K$2:$K$5000, INT((ROW()-2)/8)+1)</f>
        <v>7</v>
      </c>
      <c r="D344" t="str" cm="1">
        <f t="array" ref="D344">INDEX(salesmonthly!$B$1:$I$1, MOD(ROW()-2,8)+1)</f>
        <v>R03</v>
      </c>
      <c r="E344" cm="1">
        <f t="array" ref="E344">INDEX(salesmonthly!$B$2:$I$5000, INT((ROW()-2)/8)+1, MOD(ROW()-2,8)+1)</f>
        <v>115</v>
      </c>
    </row>
    <row r="345" spans="1:5" x14ac:dyDescent="0.35">
      <c r="A345" s="1" cm="1">
        <f t="array" ref="A345">INDEX(salesmonthly!$A$2:$A$5000, INT((ROW()-2)/8)+1)</f>
        <v>42947</v>
      </c>
      <c r="B345" cm="1">
        <f t="array" ref="B345">INDEX(salesmonthly!$J$2:$J$5000, INT((ROW()-2)/8)+1)</f>
        <v>2017</v>
      </c>
      <c r="C345" cm="1">
        <f t="array" ref="C345">INDEX(salesmonthly!$K$2:$K$5000, INT((ROW()-2)/8)+1)</f>
        <v>7</v>
      </c>
      <c r="D345" t="str" cm="1">
        <f t="array" ref="D345">INDEX(salesmonthly!$B$1:$I$1, MOD(ROW()-2,8)+1)</f>
        <v>R06</v>
      </c>
      <c r="E345" cm="1">
        <f t="array" ref="E345">INDEX(salesmonthly!$B$2:$I$5000, INT((ROW()-2)/8)+1, MOD(ROW()-2,8)+1)</f>
        <v>81.099999999999994</v>
      </c>
    </row>
    <row r="346" spans="1:5" x14ac:dyDescent="0.35">
      <c r="A346" s="1" cm="1">
        <f t="array" ref="A346">INDEX(salesmonthly!$A$2:$A$5000, INT((ROW()-2)/8)+1)</f>
        <v>42978</v>
      </c>
      <c r="B346" cm="1">
        <f t="array" ref="B346">INDEX(salesmonthly!$J$2:$J$5000, INT((ROW()-2)/8)+1)</f>
        <v>2017</v>
      </c>
      <c r="C346" cm="1">
        <f t="array" ref="C346">INDEX(salesmonthly!$K$2:$K$5000, INT((ROW()-2)/8)+1)</f>
        <v>8</v>
      </c>
      <c r="D346" t="str" cm="1">
        <f t="array" ref="D346">INDEX(salesmonthly!$B$1:$I$1, MOD(ROW()-2,8)+1)</f>
        <v>M01AB</v>
      </c>
      <c r="E346" t="str" cm="1">
        <f t="array" ref="E346">INDEX(salesmonthly!$B$2:$I$5000, INT((ROW()-2)/8)+1, MOD(ROW()-2,8)+1)</f>
        <v>170.14999999999998</v>
      </c>
    </row>
    <row r="347" spans="1:5" x14ac:dyDescent="0.35">
      <c r="A347" s="1" cm="1">
        <f t="array" ref="A347">INDEX(salesmonthly!$A$2:$A$5000, INT((ROW()-2)/8)+1)</f>
        <v>42978</v>
      </c>
      <c r="B347" cm="1">
        <f t="array" ref="B347">INDEX(salesmonthly!$J$2:$J$5000, INT((ROW()-2)/8)+1)</f>
        <v>2017</v>
      </c>
      <c r="C347" cm="1">
        <f t="array" ref="C347">INDEX(salesmonthly!$K$2:$K$5000, INT((ROW()-2)/8)+1)</f>
        <v>8</v>
      </c>
      <c r="D347" t="str" cm="1">
        <f t="array" ref="D347">INDEX(salesmonthly!$B$1:$I$1, MOD(ROW()-2,8)+1)</f>
        <v>M01AE</v>
      </c>
      <c r="E347" cm="1">
        <f t="array" ref="E347">INDEX(salesmonthly!$B$2:$I$5000, INT((ROW()-2)/8)+1, MOD(ROW()-2,8)+1)</f>
        <v>112.47</v>
      </c>
    </row>
    <row r="348" spans="1:5" x14ac:dyDescent="0.35">
      <c r="A348" s="1" cm="1">
        <f t="array" ref="A348">INDEX(salesmonthly!$A$2:$A$5000, INT((ROW()-2)/8)+1)</f>
        <v>42978</v>
      </c>
      <c r="B348" cm="1">
        <f t="array" ref="B348">INDEX(salesmonthly!$J$2:$J$5000, INT((ROW()-2)/8)+1)</f>
        <v>2017</v>
      </c>
      <c r="C348" cm="1">
        <f t="array" ref="C348">INDEX(salesmonthly!$K$2:$K$5000, INT((ROW()-2)/8)+1)</f>
        <v>8</v>
      </c>
      <c r="D348" t="str" cm="1">
        <f t="array" ref="D348">INDEX(salesmonthly!$B$1:$I$1, MOD(ROW()-2,8)+1)</f>
        <v>N02BA</v>
      </c>
      <c r="E348" cm="1">
        <f t="array" ref="E348">INDEX(salesmonthly!$B$2:$I$5000, INT((ROW()-2)/8)+1, MOD(ROW()-2,8)+1)</f>
        <v>84.4</v>
      </c>
    </row>
    <row r="349" spans="1:5" x14ac:dyDescent="0.35">
      <c r="A349" s="1" cm="1">
        <f t="array" ref="A349">INDEX(salesmonthly!$A$2:$A$5000, INT((ROW()-2)/8)+1)</f>
        <v>42978</v>
      </c>
      <c r="B349" cm="1">
        <f t="array" ref="B349">INDEX(salesmonthly!$J$2:$J$5000, INT((ROW()-2)/8)+1)</f>
        <v>2017</v>
      </c>
      <c r="C349" cm="1">
        <f t="array" ref="C349">INDEX(salesmonthly!$K$2:$K$5000, INT((ROW()-2)/8)+1)</f>
        <v>8</v>
      </c>
      <c r="D349" t="str" cm="1">
        <f t="array" ref="D349">INDEX(salesmonthly!$B$1:$I$1, MOD(ROW()-2,8)+1)</f>
        <v>N02BE</v>
      </c>
      <c r="E349" cm="1">
        <f t="array" ref="E349">INDEX(salesmonthly!$B$2:$I$5000, INT((ROW()-2)/8)+1, MOD(ROW()-2,8)+1)</f>
        <v>549.29999999999995</v>
      </c>
    </row>
    <row r="350" spans="1:5" x14ac:dyDescent="0.35">
      <c r="A350" s="1" cm="1">
        <f t="array" ref="A350">INDEX(salesmonthly!$A$2:$A$5000, INT((ROW()-2)/8)+1)</f>
        <v>42978</v>
      </c>
      <c r="B350" cm="1">
        <f t="array" ref="B350">INDEX(salesmonthly!$J$2:$J$5000, INT((ROW()-2)/8)+1)</f>
        <v>2017</v>
      </c>
      <c r="C350" cm="1">
        <f t="array" ref="C350">INDEX(salesmonthly!$K$2:$K$5000, INT((ROW()-2)/8)+1)</f>
        <v>8</v>
      </c>
      <c r="D350" t="str" cm="1">
        <f t="array" ref="D350">INDEX(salesmonthly!$B$1:$I$1, MOD(ROW()-2,8)+1)</f>
        <v>N05B</v>
      </c>
      <c r="E350" cm="1">
        <f t="array" ref="E350">INDEX(salesmonthly!$B$2:$I$5000, INT((ROW()-2)/8)+1, MOD(ROW()-2,8)+1)</f>
        <v>239</v>
      </c>
    </row>
    <row r="351" spans="1:5" x14ac:dyDescent="0.35">
      <c r="A351" s="1" cm="1">
        <f t="array" ref="A351">INDEX(salesmonthly!$A$2:$A$5000, INT((ROW()-2)/8)+1)</f>
        <v>42978</v>
      </c>
      <c r="B351" cm="1">
        <f t="array" ref="B351">INDEX(salesmonthly!$J$2:$J$5000, INT((ROW()-2)/8)+1)</f>
        <v>2017</v>
      </c>
      <c r="C351" cm="1">
        <f t="array" ref="C351">INDEX(salesmonthly!$K$2:$K$5000, INT((ROW()-2)/8)+1)</f>
        <v>8</v>
      </c>
      <c r="D351" t="str" cm="1">
        <f t="array" ref="D351">INDEX(salesmonthly!$B$1:$I$1, MOD(ROW()-2,8)+1)</f>
        <v>N05C</v>
      </c>
      <c r="E351" cm="1">
        <f t="array" ref="E351">INDEX(salesmonthly!$B$2:$I$5000, INT((ROW()-2)/8)+1, MOD(ROW()-2,8)+1)</f>
        <v>12</v>
      </c>
    </row>
    <row r="352" spans="1:5" x14ac:dyDescent="0.35">
      <c r="A352" s="1" cm="1">
        <f t="array" ref="A352">INDEX(salesmonthly!$A$2:$A$5000, INT((ROW()-2)/8)+1)</f>
        <v>42978</v>
      </c>
      <c r="B352" cm="1">
        <f t="array" ref="B352">INDEX(salesmonthly!$J$2:$J$5000, INT((ROW()-2)/8)+1)</f>
        <v>2017</v>
      </c>
      <c r="C352" cm="1">
        <f t="array" ref="C352">INDEX(salesmonthly!$K$2:$K$5000, INT((ROW()-2)/8)+1)</f>
        <v>8</v>
      </c>
      <c r="D352" t="str" cm="1">
        <f t="array" ref="D352">INDEX(salesmonthly!$B$1:$I$1, MOD(ROW()-2,8)+1)</f>
        <v>R03</v>
      </c>
      <c r="E352" cm="1">
        <f t="array" ref="E352">INDEX(salesmonthly!$B$2:$I$5000, INT((ROW()-2)/8)+1, MOD(ROW()-2,8)+1)</f>
        <v>75</v>
      </c>
    </row>
    <row r="353" spans="1:5" x14ac:dyDescent="0.35">
      <c r="A353" s="1" cm="1">
        <f t="array" ref="A353">INDEX(salesmonthly!$A$2:$A$5000, INT((ROW()-2)/8)+1)</f>
        <v>42978</v>
      </c>
      <c r="B353" cm="1">
        <f t="array" ref="B353">INDEX(salesmonthly!$J$2:$J$5000, INT((ROW()-2)/8)+1)</f>
        <v>2017</v>
      </c>
      <c r="C353" cm="1">
        <f t="array" ref="C353">INDEX(salesmonthly!$K$2:$K$5000, INT((ROW()-2)/8)+1)</f>
        <v>8</v>
      </c>
      <c r="D353" t="str" cm="1">
        <f t="array" ref="D353">INDEX(salesmonthly!$B$1:$I$1, MOD(ROW()-2,8)+1)</f>
        <v>R06</v>
      </c>
      <c r="E353" cm="1">
        <f t="array" ref="E353">INDEX(salesmonthly!$B$2:$I$5000, INT((ROW()-2)/8)+1, MOD(ROW()-2,8)+1)</f>
        <v>60.1</v>
      </c>
    </row>
    <row r="354" spans="1:5" x14ac:dyDescent="0.35">
      <c r="A354" s="1" cm="1">
        <f t="array" ref="A354">INDEX(salesmonthly!$A$2:$A$5000, INT((ROW()-2)/8)+1)</f>
        <v>43008</v>
      </c>
      <c r="B354" cm="1">
        <f t="array" ref="B354">INDEX(salesmonthly!$J$2:$J$5000, INT((ROW()-2)/8)+1)</f>
        <v>2017</v>
      </c>
      <c r="C354" cm="1">
        <f t="array" ref="C354">INDEX(salesmonthly!$K$2:$K$5000, INT((ROW()-2)/8)+1)</f>
        <v>9</v>
      </c>
      <c r="D354" t="str" cm="1">
        <f t="array" ref="D354">INDEX(salesmonthly!$B$1:$I$1, MOD(ROW()-2,8)+1)</f>
        <v>M01AB</v>
      </c>
      <c r="E354" cm="1">
        <f t="array" ref="E354">INDEX(salesmonthly!$B$2:$I$5000, INT((ROW()-2)/8)+1, MOD(ROW()-2,8)+1)</f>
        <v>138.33000000000001</v>
      </c>
    </row>
    <row r="355" spans="1:5" x14ac:dyDescent="0.35">
      <c r="A355" s="1" cm="1">
        <f t="array" ref="A355">INDEX(salesmonthly!$A$2:$A$5000, INT((ROW()-2)/8)+1)</f>
        <v>43008</v>
      </c>
      <c r="B355" cm="1">
        <f t="array" ref="B355">INDEX(salesmonthly!$J$2:$J$5000, INT((ROW()-2)/8)+1)</f>
        <v>2017</v>
      </c>
      <c r="C355" cm="1">
        <f t="array" ref="C355">INDEX(salesmonthly!$K$2:$K$5000, INT((ROW()-2)/8)+1)</f>
        <v>9</v>
      </c>
      <c r="D355" t="str" cm="1">
        <f t="array" ref="D355">INDEX(salesmonthly!$B$1:$I$1, MOD(ROW()-2,8)+1)</f>
        <v>M01AE</v>
      </c>
      <c r="E355" t="str" cm="1">
        <f t="array" ref="E355">INDEX(salesmonthly!$B$2:$I$5000, INT((ROW()-2)/8)+1, MOD(ROW()-2,8)+1)</f>
        <v>118.71100000000004</v>
      </c>
    </row>
    <row r="356" spans="1:5" x14ac:dyDescent="0.35">
      <c r="A356" s="1" cm="1">
        <f t="array" ref="A356">INDEX(salesmonthly!$A$2:$A$5000, INT((ROW()-2)/8)+1)</f>
        <v>43008</v>
      </c>
      <c r="B356" cm="1">
        <f t="array" ref="B356">INDEX(salesmonthly!$J$2:$J$5000, INT((ROW()-2)/8)+1)</f>
        <v>2017</v>
      </c>
      <c r="C356" cm="1">
        <f t="array" ref="C356">INDEX(salesmonthly!$K$2:$K$5000, INT((ROW()-2)/8)+1)</f>
        <v>9</v>
      </c>
      <c r="D356" t="str" cm="1">
        <f t="array" ref="D356">INDEX(salesmonthly!$B$1:$I$1, MOD(ROW()-2,8)+1)</f>
        <v>N02BA</v>
      </c>
      <c r="E356" t="str" cm="1">
        <f t="array" ref="E356">INDEX(salesmonthly!$B$2:$I$5000, INT((ROW()-2)/8)+1, MOD(ROW()-2,8)+1)</f>
        <v>88.14999999999998</v>
      </c>
    </row>
    <row r="357" spans="1:5" x14ac:dyDescent="0.35">
      <c r="A357" s="1" cm="1">
        <f t="array" ref="A357">INDEX(salesmonthly!$A$2:$A$5000, INT((ROW()-2)/8)+1)</f>
        <v>43008</v>
      </c>
      <c r="B357" cm="1">
        <f t="array" ref="B357">INDEX(salesmonthly!$J$2:$J$5000, INT((ROW()-2)/8)+1)</f>
        <v>2017</v>
      </c>
      <c r="C357" cm="1">
        <f t="array" ref="C357">INDEX(salesmonthly!$K$2:$K$5000, INT((ROW()-2)/8)+1)</f>
        <v>9</v>
      </c>
      <c r="D357" t="str" cm="1">
        <f t="array" ref="D357">INDEX(salesmonthly!$B$1:$I$1, MOD(ROW()-2,8)+1)</f>
        <v>N02BE</v>
      </c>
      <c r="E357" t="str" cm="1">
        <f t="array" ref="E357">INDEX(salesmonthly!$B$2:$I$5000, INT((ROW()-2)/8)+1, MOD(ROW()-2,8)+1)</f>
        <v>863.7500000000002</v>
      </c>
    </row>
    <row r="358" spans="1:5" x14ac:dyDescent="0.35">
      <c r="A358" s="1" cm="1">
        <f t="array" ref="A358">INDEX(salesmonthly!$A$2:$A$5000, INT((ROW()-2)/8)+1)</f>
        <v>43008</v>
      </c>
      <c r="B358" cm="1">
        <f t="array" ref="B358">INDEX(salesmonthly!$J$2:$J$5000, INT((ROW()-2)/8)+1)</f>
        <v>2017</v>
      </c>
      <c r="C358" cm="1">
        <f t="array" ref="C358">INDEX(salesmonthly!$K$2:$K$5000, INT((ROW()-2)/8)+1)</f>
        <v>9</v>
      </c>
      <c r="D358" t="str" cm="1">
        <f t="array" ref="D358">INDEX(salesmonthly!$B$1:$I$1, MOD(ROW()-2,8)+1)</f>
        <v>N05B</v>
      </c>
      <c r="E358" cm="1">
        <f t="array" ref="E358">INDEX(salesmonthly!$B$2:$I$5000, INT((ROW()-2)/8)+1, MOD(ROW()-2,8)+1)</f>
        <v>223</v>
      </c>
    </row>
    <row r="359" spans="1:5" x14ac:dyDescent="0.35">
      <c r="A359" s="1" cm="1">
        <f t="array" ref="A359">INDEX(salesmonthly!$A$2:$A$5000, INT((ROW()-2)/8)+1)</f>
        <v>43008</v>
      </c>
      <c r="B359" cm="1">
        <f t="array" ref="B359">INDEX(salesmonthly!$J$2:$J$5000, INT((ROW()-2)/8)+1)</f>
        <v>2017</v>
      </c>
      <c r="C359" cm="1">
        <f t="array" ref="C359">INDEX(salesmonthly!$K$2:$K$5000, INT((ROW()-2)/8)+1)</f>
        <v>9</v>
      </c>
      <c r="D359" t="str" cm="1">
        <f t="array" ref="D359">INDEX(salesmonthly!$B$1:$I$1, MOD(ROW()-2,8)+1)</f>
        <v>N05C</v>
      </c>
      <c r="E359" cm="1">
        <f t="array" ref="E359">INDEX(salesmonthly!$B$2:$I$5000, INT((ROW()-2)/8)+1, MOD(ROW()-2,8)+1)</f>
        <v>23</v>
      </c>
    </row>
    <row r="360" spans="1:5" x14ac:dyDescent="0.35">
      <c r="A360" s="1" cm="1">
        <f t="array" ref="A360">INDEX(salesmonthly!$A$2:$A$5000, INT((ROW()-2)/8)+1)</f>
        <v>43008</v>
      </c>
      <c r="B360" cm="1">
        <f t="array" ref="B360">INDEX(salesmonthly!$J$2:$J$5000, INT((ROW()-2)/8)+1)</f>
        <v>2017</v>
      </c>
      <c r="C360" cm="1">
        <f t="array" ref="C360">INDEX(salesmonthly!$K$2:$K$5000, INT((ROW()-2)/8)+1)</f>
        <v>9</v>
      </c>
      <c r="D360" t="str" cm="1">
        <f t="array" ref="D360">INDEX(salesmonthly!$B$1:$I$1, MOD(ROW()-2,8)+1)</f>
        <v>R03</v>
      </c>
      <c r="E360" cm="1">
        <f t="array" ref="E360">INDEX(salesmonthly!$B$2:$I$5000, INT((ROW()-2)/8)+1, MOD(ROW()-2,8)+1)</f>
        <v>139</v>
      </c>
    </row>
    <row r="361" spans="1:5" x14ac:dyDescent="0.35">
      <c r="A361" s="1" cm="1">
        <f t="array" ref="A361">INDEX(salesmonthly!$A$2:$A$5000, INT((ROW()-2)/8)+1)</f>
        <v>43008</v>
      </c>
      <c r="B361" cm="1">
        <f t="array" ref="B361">INDEX(salesmonthly!$J$2:$J$5000, INT((ROW()-2)/8)+1)</f>
        <v>2017</v>
      </c>
      <c r="C361" cm="1">
        <f t="array" ref="C361">INDEX(salesmonthly!$K$2:$K$5000, INT((ROW()-2)/8)+1)</f>
        <v>9</v>
      </c>
      <c r="D361" t="str" cm="1">
        <f t="array" ref="D361">INDEX(salesmonthly!$B$1:$I$1, MOD(ROW()-2,8)+1)</f>
        <v>R06</v>
      </c>
      <c r="E361" cm="1">
        <f t="array" ref="E361">INDEX(salesmonthly!$B$2:$I$5000, INT((ROW()-2)/8)+1, MOD(ROW()-2,8)+1)</f>
        <v>66.900000000000006</v>
      </c>
    </row>
    <row r="362" spans="1:5" x14ac:dyDescent="0.35">
      <c r="A362" s="1" cm="1">
        <f t="array" ref="A362">INDEX(salesmonthly!$A$2:$A$5000, INT((ROW()-2)/8)+1)</f>
        <v>43039</v>
      </c>
      <c r="B362" cm="1">
        <f t="array" ref="B362">INDEX(salesmonthly!$J$2:$J$5000, INT((ROW()-2)/8)+1)</f>
        <v>2017</v>
      </c>
      <c r="C362" cm="1">
        <f t="array" ref="C362">INDEX(salesmonthly!$K$2:$K$5000, INT((ROW()-2)/8)+1)</f>
        <v>10</v>
      </c>
      <c r="D362" t="str" cm="1">
        <f t="array" ref="D362">INDEX(salesmonthly!$B$1:$I$1, MOD(ROW()-2,8)+1)</f>
        <v>M01AB</v>
      </c>
      <c r="E362" t="str" cm="1">
        <f t="array" ref="E362">INDEX(salesmonthly!$B$2:$I$5000, INT((ROW()-2)/8)+1, MOD(ROW()-2,8)+1)</f>
        <v>137.64000000000001</v>
      </c>
    </row>
    <row r="363" spans="1:5" x14ac:dyDescent="0.35">
      <c r="A363" s="1" cm="1">
        <f t="array" ref="A363">INDEX(salesmonthly!$A$2:$A$5000, INT((ROW()-2)/8)+1)</f>
        <v>43039</v>
      </c>
      <c r="B363" cm="1">
        <f t="array" ref="B363">INDEX(salesmonthly!$J$2:$J$5000, INT((ROW()-2)/8)+1)</f>
        <v>2017</v>
      </c>
      <c r="C363" cm="1">
        <f t="array" ref="C363">INDEX(salesmonthly!$K$2:$K$5000, INT((ROW()-2)/8)+1)</f>
        <v>10</v>
      </c>
      <c r="D363" t="str" cm="1">
        <f t="array" ref="D363">INDEX(salesmonthly!$B$1:$I$1, MOD(ROW()-2,8)+1)</f>
        <v>M01AE</v>
      </c>
      <c r="E363" cm="1">
        <f t="array" ref="E363">INDEX(salesmonthly!$B$2:$I$5000, INT((ROW()-2)/8)+1, MOD(ROW()-2,8)+1)</f>
        <v>88.736999999999995</v>
      </c>
    </row>
    <row r="364" spans="1:5" x14ac:dyDescent="0.35">
      <c r="A364" s="1" cm="1">
        <f t="array" ref="A364">INDEX(salesmonthly!$A$2:$A$5000, INT((ROW()-2)/8)+1)</f>
        <v>43039</v>
      </c>
      <c r="B364" cm="1">
        <f t="array" ref="B364">INDEX(salesmonthly!$J$2:$J$5000, INT((ROW()-2)/8)+1)</f>
        <v>2017</v>
      </c>
      <c r="C364" cm="1">
        <f t="array" ref="C364">INDEX(salesmonthly!$K$2:$K$5000, INT((ROW()-2)/8)+1)</f>
        <v>10</v>
      </c>
      <c r="D364" t="str" cm="1">
        <f t="array" ref="D364">INDEX(salesmonthly!$B$1:$I$1, MOD(ROW()-2,8)+1)</f>
        <v>N02BA</v>
      </c>
      <c r="E364" t="str" cm="1">
        <f t="array" ref="E364">INDEX(salesmonthly!$B$2:$I$5000, INT((ROW()-2)/8)+1, MOD(ROW()-2,8)+1)</f>
        <v>100.39999999999999</v>
      </c>
    </row>
    <row r="365" spans="1:5" x14ac:dyDescent="0.35">
      <c r="A365" s="1" cm="1">
        <f t="array" ref="A365">INDEX(salesmonthly!$A$2:$A$5000, INT((ROW()-2)/8)+1)</f>
        <v>43039</v>
      </c>
      <c r="B365" cm="1">
        <f t="array" ref="B365">INDEX(salesmonthly!$J$2:$J$5000, INT((ROW()-2)/8)+1)</f>
        <v>2017</v>
      </c>
      <c r="C365" cm="1">
        <f t="array" ref="C365">INDEX(salesmonthly!$K$2:$K$5000, INT((ROW()-2)/8)+1)</f>
        <v>10</v>
      </c>
      <c r="D365" t="str" cm="1">
        <f t="array" ref="D365">INDEX(salesmonthly!$B$1:$I$1, MOD(ROW()-2,8)+1)</f>
        <v>N02BE</v>
      </c>
      <c r="E365" t="str" cm="1">
        <f t="array" ref="E365">INDEX(salesmonthly!$B$2:$I$5000, INT((ROW()-2)/8)+1, MOD(ROW()-2,8)+1)</f>
        <v>1184.3500000000004</v>
      </c>
    </row>
    <row r="366" spans="1:5" x14ac:dyDescent="0.35">
      <c r="A366" s="1" cm="1">
        <f t="array" ref="A366">INDEX(salesmonthly!$A$2:$A$5000, INT((ROW()-2)/8)+1)</f>
        <v>43039</v>
      </c>
      <c r="B366" cm="1">
        <f t="array" ref="B366">INDEX(salesmonthly!$J$2:$J$5000, INT((ROW()-2)/8)+1)</f>
        <v>2017</v>
      </c>
      <c r="C366" cm="1">
        <f t="array" ref="C366">INDEX(salesmonthly!$K$2:$K$5000, INT((ROW()-2)/8)+1)</f>
        <v>10</v>
      </c>
      <c r="D366" t="str" cm="1">
        <f t="array" ref="D366">INDEX(salesmonthly!$B$1:$I$1, MOD(ROW()-2,8)+1)</f>
        <v>N05B</v>
      </c>
      <c r="E366" cm="1">
        <f t="array" ref="E366">INDEX(salesmonthly!$B$2:$I$5000, INT((ROW()-2)/8)+1, MOD(ROW()-2,8)+1)</f>
        <v>226</v>
      </c>
    </row>
    <row r="367" spans="1:5" x14ac:dyDescent="0.35">
      <c r="A367" s="1" cm="1">
        <f t="array" ref="A367">INDEX(salesmonthly!$A$2:$A$5000, INT((ROW()-2)/8)+1)</f>
        <v>43039</v>
      </c>
      <c r="B367" cm="1">
        <f t="array" ref="B367">INDEX(salesmonthly!$J$2:$J$5000, INT((ROW()-2)/8)+1)</f>
        <v>2017</v>
      </c>
      <c r="C367" cm="1">
        <f t="array" ref="C367">INDEX(salesmonthly!$K$2:$K$5000, INT((ROW()-2)/8)+1)</f>
        <v>10</v>
      </c>
      <c r="D367" t="str" cm="1">
        <f t="array" ref="D367">INDEX(salesmonthly!$B$1:$I$1, MOD(ROW()-2,8)+1)</f>
        <v>N05C</v>
      </c>
      <c r="E367" cm="1">
        <f t="array" ref="E367">INDEX(salesmonthly!$B$2:$I$5000, INT((ROW()-2)/8)+1, MOD(ROW()-2,8)+1)</f>
        <v>15</v>
      </c>
    </row>
    <row r="368" spans="1:5" x14ac:dyDescent="0.35">
      <c r="A368" s="1" cm="1">
        <f t="array" ref="A368">INDEX(salesmonthly!$A$2:$A$5000, INT((ROW()-2)/8)+1)</f>
        <v>43039</v>
      </c>
      <c r="B368" cm="1">
        <f t="array" ref="B368">INDEX(salesmonthly!$J$2:$J$5000, INT((ROW()-2)/8)+1)</f>
        <v>2017</v>
      </c>
      <c r="C368" cm="1">
        <f t="array" ref="C368">INDEX(salesmonthly!$K$2:$K$5000, INT((ROW()-2)/8)+1)</f>
        <v>10</v>
      </c>
      <c r="D368" t="str" cm="1">
        <f t="array" ref="D368">INDEX(salesmonthly!$B$1:$I$1, MOD(ROW()-2,8)+1)</f>
        <v>R03</v>
      </c>
      <c r="E368" cm="1">
        <f t="array" ref="E368">INDEX(salesmonthly!$B$2:$I$5000, INT((ROW()-2)/8)+1, MOD(ROW()-2,8)+1)</f>
        <v>247</v>
      </c>
    </row>
    <row r="369" spans="1:5" x14ac:dyDescent="0.35">
      <c r="A369" s="1" cm="1">
        <f t="array" ref="A369">INDEX(salesmonthly!$A$2:$A$5000, INT((ROW()-2)/8)+1)</f>
        <v>43039</v>
      </c>
      <c r="B369" cm="1">
        <f t="array" ref="B369">INDEX(salesmonthly!$J$2:$J$5000, INT((ROW()-2)/8)+1)</f>
        <v>2017</v>
      </c>
      <c r="C369" cm="1">
        <f t="array" ref="C369">INDEX(salesmonthly!$K$2:$K$5000, INT((ROW()-2)/8)+1)</f>
        <v>10</v>
      </c>
      <c r="D369" t="str" cm="1">
        <f t="array" ref="D369">INDEX(salesmonthly!$B$1:$I$1, MOD(ROW()-2,8)+1)</f>
        <v>R06</v>
      </c>
      <c r="E369" cm="1">
        <f t="array" ref="E369">INDEX(salesmonthly!$B$2:$I$5000, INT((ROW()-2)/8)+1, MOD(ROW()-2,8)+1)</f>
        <v>51</v>
      </c>
    </row>
    <row r="370" spans="1:5" x14ac:dyDescent="0.35">
      <c r="A370" s="1" cm="1">
        <f t="array" ref="A370">INDEX(salesmonthly!$A$2:$A$5000, INT((ROW()-2)/8)+1)</f>
        <v>43069</v>
      </c>
      <c r="B370" cm="1">
        <f t="array" ref="B370">INDEX(salesmonthly!$J$2:$J$5000, INT((ROW()-2)/8)+1)</f>
        <v>2017</v>
      </c>
      <c r="C370" cm="1">
        <f t="array" ref="C370">INDEX(salesmonthly!$K$2:$K$5000, INT((ROW()-2)/8)+1)</f>
        <v>11</v>
      </c>
      <c r="D370" t="str" cm="1">
        <f t="array" ref="D370">INDEX(salesmonthly!$B$1:$I$1, MOD(ROW()-2,8)+1)</f>
        <v>M01AB</v>
      </c>
      <c r="E370" t="str" cm="1">
        <f t="array" ref="E370">INDEX(salesmonthly!$B$2:$I$5000, INT((ROW()-2)/8)+1, MOD(ROW()-2,8)+1)</f>
        <v>163.85000000000005</v>
      </c>
    </row>
    <row r="371" spans="1:5" x14ac:dyDescent="0.35">
      <c r="A371" s="1" cm="1">
        <f t="array" ref="A371">INDEX(salesmonthly!$A$2:$A$5000, INT((ROW()-2)/8)+1)</f>
        <v>43069</v>
      </c>
      <c r="B371" cm="1">
        <f t="array" ref="B371">INDEX(salesmonthly!$J$2:$J$5000, INT((ROW()-2)/8)+1)</f>
        <v>2017</v>
      </c>
      <c r="C371" cm="1">
        <f t="array" ref="C371">INDEX(salesmonthly!$K$2:$K$5000, INT((ROW()-2)/8)+1)</f>
        <v>11</v>
      </c>
      <c r="D371" t="str" cm="1">
        <f t="array" ref="D371">INDEX(salesmonthly!$B$1:$I$1, MOD(ROW()-2,8)+1)</f>
        <v>M01AE</v>
      </c>
      <c r="E371" t="str" cm="1">
        <f t="array" ref="E371">INDEX(salesmonthly!$B$2:$I$5000, INT((ROW()-2)/8)+1, MOD(ROW()-2,8)+1)</f>
        <v>119.78000000000003</v>
      </c>
    </row>
    <row r="372" spans="1:5" x14ac:dyDescent="0.35">
      <c r="A372" s="1" cm="1">
        <f t="array" ref="A372">INDEX(salesmonthly!$A$2:$A$5000, INT((ROW()-2)/8)+1)</f>
        <v>43069</v>
      </c>
      <c r="B372" cm="1">
        <f t="array" ref="B372">INDEX(salesmonthly!$J$2:$J$5000, INT((ROW()-2)/8)+1)</f>
        <v>2017</v>
      </c>
      <c r="C372" cm="1">
        <f t="array" ref="C372">INDEX(salesmonthly!$K$2:$K$5000, INT((ROW()-2)/8)+1)</f>
        <v>11</v>
      </c>
      <c r="D372" t="str" cm="1">
        <f t="array" ref="D372">INDEX(salesmonthly!$B$1:$I$1, MOD(ROW()-2,8)+1)</f>
        <v>N02BA</v>
      </c>
      <c r="E372" cm="1">
        <f t="array" ref="E372">INDEX(salesmonthly!$B$2:$I$5000, INT((ROW()-2)/8)+1, MOD(ROW()-2,8)+1)</f>
        <v>104.45</v>
      </c>
    </row>
    <row r="373" spans="1:5" x14ac:dyDescent="0.35">
      <c r="A373" s="1" cm="1">
        <f t="array" ref="A373">INDEX(salesmonthly!$A$2:$A$5000, INT((ROW()-2)/8)+1)</f>
        <v>43069</v>
      </c>
      <c r="B373" cm="1">
        <f t="array" ref="B373">INDEX(salesmonthly!$J$2:$J$5000, INT((ROW()-2)/8)+1)</f>
        <v>2017</v>
      </c>
      <c r="C373" cm="1">
        <f t="array" ref="C373">INDEX(salesmonthly!$K$2:$K$5000, INT((ROW()-2)/8)+1)</f>
        <v>11</v>
      </c>
      <c r="D373" t="str" cm="1">
        <f t="array" ref="D373">INDEX(salesmonthly!$B$1:$I$1, MOD(ROW()-2,8)+1)</f>
        <v>N02BE</v>
      </c>
      <c r="E373" t="str" cm="1">
        <f t="array" ref="E373">INDEX(salesmonthly!$B$2:$I$5000, INT((ROW()-2)/8)+1, MOD(ROW()-2,8)+1)</f>
        <v>867.8990000000001</v>
      </c>
    </row>
    <row r="374" spans="1:5" x14ac:dyDescent="0.35">
      <c r="A374" s="1" cm="1">
        <f t="array" ref="A374">INDEX(salesmonthly!$A$2:$A$5000, INT((ROW()-2)/8)+1)</f>
        <v>43069</v>
      </c>
      <c r="B374" cm="1">
        <f t="array" ref="B374">INDEX(salesmonthly!$J$2:$J$5000, INT((ROW()-2)/8)+1)</f>
        <v>2017</v>
      </c>
      <c r="C374" cm="1">
        <f t="array" ref="C374">INDEX(salesmonthly!$K$2:$K$5000, INT((ROW()-2)/8)+1)</f>
        <v>11</v>
      </c>
      <c r="D374" t="str" cm="1">
        <f t="array" ref="D374">INDEX(salesmonthly!$B$1:$I$1, MOD(ROW()-2,8)+1)</f>
        <v>N05B</v>
      </c>
      <c r="E374" cm="1">
        <f t="array" ref="E374">INDEX(salesmonthly!$B$2:$I$5000, INT((ROW()-2)/8)+1, MOD(ROW()-2,8)+1)</f>
        <v>192</v>
      </c>
    </row>
    <row r="375" spans="1:5" x14ac:dyDescent="0.35">
      <c r="A375" s="1" cm="1">
        <f t="array" ref="A375">INDEX(salesmonthly!$A$2:$A$5000, INT((ROW()-2)/8)+1)</f>
        <v>43069</v>
      </c>
      <c r="B375" cm="1">
        <f t="array" ref="B375">INDEX(salesmonthly!$J$2:$J$5000, INT((ROW()-2)/8)+1)</f>
        <v>2017</v>
      </c>
      <c r="C375" cm="1">
        <f t="array" ref="C375">INDEX(salesmonthly!$K$2:$K$5000, INT((ROW()-2)/8)+1)</f>
        <v>11</v>
      </c>
      <c r="D375" t="str" cm="1">
        <f t="array" ref="D375">INDEX(salesmonthly!$B$1:$I$1, MOD(ROW()-2,8)+1)</f>
        <v>N05C</v>
      </c>
      <c r="E375" cm="1">
        <f t="array" ref="E375">INDEX(salesmonthly!$B$2:$I$5000, INT((ROW()-2)/8)+1, MOD(ROW()-2,8)+1)</f>
        <v>15</v>
      </c>
    </row>
    <row r="376" spans="1:5" x14ac:dyDescent="0.35">
      <c r="A376" s="1" cm="1">
        <f t="array" ref="A376">INDEX(salesmonthly!$A$2:$A$5000, INT((ROW()-2)/8)+1)</f>
        <v>43069</v>
      </c>
      <c r="B376" cm="1">
        <f t="array" ref="B376">INDEX(salesmonthly!$J$2:$J$5000, INT((ROW()-2)/8)+1)</f>
        <v>2017</v>
      </c>
      <c r="C376" cm="1">
        <f t="array" ref="C376">INDEX(salesmonthly!$K$2:$K$5000, INT((ROW()-2)/8)+1)</f>
        <v>11</v>
      </c>
      <c r="D376" t="str" cm="1">
        <f t="array" ref="D376">INDEX(salesmonthly!$B$1:$I$1, MOD(ROW()-2,8)+1)</f>
        <v>R03</v>
      </c>
      <c r="E376" cm="1">
        <f t="array" ref="E376">INDEX(salesmonthly!$B$2:$I$5000, INT((ROW()-2)/8)+1, MOD(ROW()-2,8)+1)</f>
        <v>196</v>
      </c>
    </row>
    <row r="377" spans="1:5" x14ac:dyDescent="0.35">
      <c r="A377" s="1" cm="1">
        <f t="array" ref="A377">INDEX(salesmonthly!$A$2:$A$5000, INT((ROW()-2)/8)+1)</f>
        <v>43069</v>
      </c>
      <c r="B377" cm="1">
        <f t="array" ref="B377">INDEX(salesmonthly!$J$2:$J$5000, INT((ROW()-2)/8)+1)</f>
        <v>2017</v>
      </c>
      <c r="C377" cm="1">
        <f t="array" ref="C377">INDEX(salesmonthly!$K$2:$K$5000, INT((ROW()-2)/8)+1)</f>
        <v>11</v>
      </c>
      <c r="D377" t="str" cm="1">
        <f t="array" ref="D377">INDEX(salesmonthly!$B$1:$I$1, MOD(ROW()-2,8)+1)</f>
        <v>R06</v>
      </c>
      <c r="E377" t="str" cm="1">
        <f t="array" ref="E377">INDEX(salesmonthly!$B$2:$I$5000, INT((ROW()-2)/8)+1, MOD(ROW()-2,8)+1)</f>
        <v>46.599999999999994</v>
      </c>
    </row>
    <row r="378" spans="1:5" x14ac:dyDescent="0.35">
      <c r="A378" s="1" cm="1">
        <f t="array" ref="A378">INDEX(salesmonthly!$A$2:$A$5000, INT((ROW()-2)/8)+1)</f>
        <v>43100</v>
      </c>
      <c r="B378" cm="1">
        <f t="array" ref="B378">INDEX(salesmonthly!$J$2:$J$5000, INT((ROW()-2)/8)+1)</f>
        <v>2017</v>
      </c>
      <c r="C378" cm="1">
        <f t="array" ref="C378">INDEX(salesmonthly!$K$2:$K$5000, INT((ROW()-2)/8)+1)</f>
        <v>12</v>
      </c>
      <c r="D378" t="str" cm="1">
        <f t="array" ref="D378">INDEX(salesmonthly!$B$1:$I$1, MOD(ROW()-2,8)+1)</f>
        <v>M01AB</v>
      </c>
      <c r="E378" t="str" cm="1">
        <f t="array" ref="E378">INDEX(salesmonthly!$B$2:$I$5000, INT((ROW()-2)/8)+1, MOD(ROW()-2,8)+1)</f>
        <v>160.01000000000002</v>
      </c>
    </row>
    <row r="379" spans="1:5" x14ac:dyDescent="0.35">
      <c r="A379" s="1" cm="1">
        <f t="array" ref="A379">INDEX(salesmonthly!$A$2:$A$5000, INT((ROW()-2)/8)+1)</f>
        <v>43100</v>
      </c>
      <c r="B379" cm="1">
        <f t="array" ref="B379">INDEX(salesmonthly!$J$2:$J$5000, INT((ROW()-2)/8)+1)</f>
        <v>2017</v>
      </c>
      <c r="C379" cm="1">
        <f t="array" ref="C379">INDEX(salesmonthly!$K$2:$K$5000, INT((ROW()-2)/8)+1)</f>
        <v>12</v>
      </c>
      <c r="D379" t="str" cm="1">
        <f t="array" ref="D379">INDEX(salesmonthly!$B$1:$I$1, MOD(ROW()-2,8)+1)</f>
        <v>M01AE</v>
      </c>
      <c r="E379" t="str" cm="1">
        <f t="array" ref="E379">INDEX(salesmonthly!$B$2:$I$5000, INT((ROW()-2)/8)+1, MOD(ROW()-2,8)+1)</f>
        <v>121.66300000000003</v>
      </c>
    </row>
    <row r="380" spans="1:5" x14ac:dyDescent="0.35">
      <c r="A380" s="1" cm="1">
        <f t="array" ref="A380">INDEX(salesmonthly!$A$2:$A$5000, INT((ROW()-2)/8)+1)</f>
        <v>43100</v>
      </c>
      <c r="B380" cm="1">
        <f t="array" ref="B380">INDEX(salesmonthly!$J$2:$J$5000, INT((ROW()-2)/8)+1)</f>
        <v>2017</v>
      </c>
      <c r="C380" cm="1">
        <f t="array" ref="C380">INDEX(salesmonthly!$K$2:$K$5000, INT((ROW()-2)/8)+1)</f>
        <v>12</v>
      </c>
      <c r="D380" t="str" cm="1">
        <f t="array" ref="D380">INDEX(salesmonthly!$B$1:$I$1, MOD(ROW()-2,8)+1)</f>
        <v>N02BA</v>
      </c>
      <c r="E380" t="str" cm="1">
        <f t="array" ref="E380">INDEX(salesmonthly!$B$2:$I$5000, INT((ROW()-2)/8)+1, MOD(ROW()-2,8)+1)</f>
        <v>115.14999999999999</v>
      </c>
    </row>
    <row r="381" spans="1:5" x14ac:dyDescent="0.35">
      <c r="A381" s="1" cm="1">
        <f t="array" ref="A381">INDEX(salesmonthly!$A$2:$A$5000, INT((ROW()-2)/8)+1)</f>
        <v>43100</v>
      </c>
      <c r="B381" cm="1">
        <f t="array" ref="B381">INDEX(salesmonthly!$J$2:$J$5000, INT((ROW()-2)/8)+1)</f>
        <v>2017</v>
      </c>
      <c r="C381" cm="1">
        <f t="array" ref="C381">INDEX(salesmonthly!$K$2:$K$5000, INT((ROW()-2)/8)+1)</f>
        <v>12</v>
      </c>
      <c r="D381" t="str" cm="1">
        <f t="array" ref="D381">INDEX(salesmonthly!$B$1:$I$1, MOD(ROW()-2,8)+1)</f>
        <v>N02BE</v>
      </c>
      <c r="E381" t="str" cm="1">
        <f t="array" ref="E381">INDEX(salesmonthly!$B$2:$I$5000, INT((ROW()-2)/8)+1, MOD(ROW()-2,8)+1)</f>
        <v>1007.1800000000001</v>
      </c>
    </row>
    <row r="382" spans="1:5" x14ac:dyDescent="0.35">
      <c r="A382" s="1" cm="1">
        <f t="array" ref="A382">INDEX(salesmonthly!$A$2:$A$5000, INT((ROW()-2)/8)+1)</f>
        <v>43100</v>
      </c>
      <c r="B382" cm="1">
        <f t="array" ref="B382">INDEX(salesmonthly!$J$2:$J$5000, INT((ROW()-2)/8)+1)</f>
        <v>2017</v>
      </c>
      <c r="C382" cm="1">
        <f t="array" ref="C382">INDEX(salesmonthly!$K$2:$K$5000, INT((ROW()-2)/8)+1)</f>
        <v>12</v>
      </c>
      <c r="D382" t="str" cm="1">
        <f t="array" ref="D382">INDEX(salesmonthly!$B$1:$I$1, MOD(ROW()-2,8)+1)</f>
        <v>N05B</v>
      </c>
      <c r="E382" cm="1">
        <f t="array" ref="E382">INDEX(salesmonthly!$B$2:$I$5000, INT((ROW()-2)/8)+1, MOD(ROW()-2,8)+1)</f>
        <v>226</v>
      </c>
    </row>
    <row r="383" spans="1:5" x14ac:dyDescent="0.35">
      <c r="A383" s="1" cm="1">
        <f t="array" ref="A383">INDEX(salesmonthly!$A$2:$A$5000, INT((ROW()-2)/8)+1)</f>
        <v>43100</v>
      </c>
      <c r="B383" cm="1">
        <f t="array" ref="B383">INDEX(salesmonthly!$J$2:$J$5000, INT((ROW()-2)/8)+1)</f>
        <v>2017</v>
      </c>
      <c r="C383" cm="1">
        <f t="array" ref="C383">INDEX(salesmonthly!$K$2:$K$5000, INT((ROW()-2)/8)+1)</f>
        <v>12</v>
      </c>
      <c r="D383" t="str" cm="1">
        <f t="array" ref="D383">INDEX(salesmonthly!$B$1:$I$1, MOD(ROW()-2,8)+1)</f>
        <v>N05C</v>
      </c>
      <c r="E383" cm="1">
        <f t="array" ref="E383">INDEX(salesmonthly!$B$2:$I$5000, INT((ROW()-2)/8)+1, MOD(ROW()-2,8)+1)</f>
        <v>6</v>
      </c>
    </row>
    <row r="384" spans="1:5" x14ac:dyDescent="0.35">
      <c r="A384" s="1" cm="1">
        <f t="array" ref="A384">INDEX(salesmonthly!$A$2:$A$5000, INT((ROW()-2)/8)+1)</f>
        <v>43100</v>
      </c>
      <c r="B384" cm="1">
        <f t="array" ref="B384">INDEX(salesmonthly!$J$2:$J$5000, INT((ROW()-2)/8)+1)</f>
        <v>2017</v>
      </c>
      <c r="C384" cm="1">
        <f t="array" ref="C384">INDEX(salesmonthly!$K$2:$K$5000, INT((ROW()-2)/8)+1)</f>
        <v>12</v>
      </c>
      <c r="D384" t="str" cm="1">
        <f t="array" ref="D384">INDEX(salesmonthly!$B$1:$I$1, MOD(ROW()-2,8)+1)</f>
        <v>R03</v>
      </c>
      <c r="E384" cm="1">
        <f t="array" ref="E384">INDEX(salesmonthly!$B$2:$I$5000, INT((ROW()-2)/8)+1, MOD(ROW()-2,8)+1)</f>
        <v>204</v>
      </c>
    </row>
    <row r="385" spans="1:5" x14ac:dyDescent="0.35">
      <c r="A385" s="1" cm="1">
        <f t="array" ref="A385">INDEX(salesmonthly!$A$2:$A$5000, INT((ROW()-2)/8)+1)</f>
        <v>43100</v>
      </c>
      <c r="B385" cm="1">
        <f t="array" ref="B385">INDEX(salesmonthly!$J$2:$J$5000, INT((ROW()-2)/8)+1)</f>
        <v>2017</v>
      </c>
      <c r="C385" cm="1">
        <f t="array" ref="C385">INDEX(salesmonthly!$K$2:$K$5000, INT((ROW()-2)/8)+1)</f>
        <v>12</v>
      </c>
      <c r="D385" t="str" cm="1">
        <f t="array" ref="D385">INDEX(salesmonthly!$B$1:$I$1, MOD(ROW()-2,8)+1)</f>
        <v>R06</v>
      </c>
      <c r="E385" cm="1">
        <f t="array" ref="E385">INDEX(salesmonthly!$B$2:$I$5000, INT((ROW()-2)/8)+1, MOD(ROW()-2,8)+1)</f>
        <v>47.1</v>
      </c>
    </row>
    <row r="386" spans="1:5" x14ac:dyDescent="0.35">
      <c r="A386" s="1" cm="1">
        <f t="array" ref="A386">INDEX(salesmonthly!$A$2:$A$5000, INT((ROW()-2)/8)+1)</f>
        <v>43131</v>
      </c>
      <c r="B386" cm="1">
        <f t="array" ref="B386">INDEX(salesmonthly!$J$2:$J$5000, INT((ROW()-2)/8)+1)</f>
        <v>2018</v>
      </c>
      <c r="C386" cm="1">
        <f t="array" ref="C386">INDEX(salesmonthly!$K$2:$K$5000, INT((ROW()-2)/8)+1)</f>
        <v>1</v>
      </c>
      <c r="D386" t="str" cm="1">
        <f t="array" ref="D386">INDEX(salesmonthly!$B$1:$I$1, MOD(ROW()-2,8)+1)</f>
        <v>M01AB</v>
      </c>
      <c r="E386" cm="1">
        <f t="array" ref="E386">INDEX(salesmonthly!$B$2:$I$5000, INT((ROW()-2)/8)+1, MOD(ROW()-2,8)+1)</f>
        <v>132.28</v>
      </c>
    </row>
    <row r="387" spans="1:5" x14ac:dyDescent="0.35">
      <c r="A387" s="1" cm="1">
        <f t="array" ref="A387">INDEX(salesmonthly!$A$2:$A$5000, INT((ROW()-2)/8)+1)</f>
        <v>43131</v>
      </c>
      <c r="B387" cm="1">
        <f t="array" ref="B387">INDEX(salesmonthly!$J$2:$J$5000, INT((ROW()-2)/8)+1)</f>
        <v>2018</v>
      </c>
      <c r="C387" cm="1">
        <f t="array" ref="C387">INDEX(salesmonthly!$K$2:$K$5000, INT((ROW()-2)/8)+1)</f>
        <v>1</v>
      </c>
      <c r="D387" t="str" cm="1">
        <f t="array" ref="D387">INDEX(salesmonthly!$B$1:$I$1, MOD(ROW()-2,8)+1)</f>
        <v>M01AE</v>
      </c>
      <c r="E387" t="str" cm="1">
        <f t="array" ref="E387">INDEX(salesmonthly!$B$2:$I$5000, INT((ROW()-2)/8)+1, MOD(ROW()-2,8)+1)</f>
        <v>109.44599999999998</v>
      </c>
    </row>
    <row r="388" spans="1:5" x14ac:dyDescent="0.35">
      <c r="A388" s="1" cm="1">
        <f t="array" ref="A388">INDEX(salesmonthly!$A$2:$A$5000, INT((ROW()-2)/8)+1)</f>
        <v>43131</v>
      </c>
      <c r="B388" cm="1">
        <f t="array" ref="B388">INDEX(salesmonthly!$J$2:$J$5000, INT((ROW()-2)/8)+1)</f>
        <v>2018</v>
      </c>
      <c r="C388" cm="1">
        <f t="array" ref="C388">INDEX(salesmonthly!$K$2:$K$5000, INT((ROW()-2)/8)+1)</f>
        <v>1</v>
      </c>
      <c r="D388" t="str" cm="1">
        <f t="array" ref="D388">INDEX(salesmonthly!$B$1:$I$1, MOD(ROW()-2,8)+1)</f>
        <v>N02BA</v>
      </c>
      <c r="E388" t="str" cm="1">
        <f t="array" ref="E388">INDEX(salesmonthly!$B$2:$I$5000, INT((ROW()-2)/8)+1, MOD(ROW()-2,8)+1)</f>
        <v>101.14999999999999</v>
      </c>
    </row>
    <row r="389" spans="1:5" x14ac:dyDescent="0.35">
      <c r="A389" s="1" cm="1">
        <f t="array" ref="A389">INDEX(salesmonthly!$A$2:$A$5000, INT((ROW()-2)/8)+1)</f>
        <v>43131</v>
      </c>
      <c r="B389" cm="1">
        <f t="array" ref="B389">INDEX(salesmonthly!$J$2:$J$5000, INT((ROW()-2)/8)+1)</f>
        <v>2018</v>
      </c>
      <c r="C389" cm="1">
        <f t="array" ref="C389">INDEX(salesmonthly!$K$2:$K$5000, INT((ROW()-2)/8)+1)</f>
        <v>1</v>
      </c>
      <c r="D389" t="str" cm="1">
        <f t="array" ref="D389">INDEX(salesmonthly!$B$1:$I$1, MOD(ROW()-2,8)+1)</f>
        <v>N02BE</v>
      </c>
      <c r="E389" cm="1">
        <f t="array" ref="E389">INDEX(salesmonthly!$B$2:$I$5000, INT((ROW()-2)/8)+1, MOD(ROW()-2,8)+1)</f>
        <v>1134.325</v>
      </c>
    </row>
    <row r="390" spans="1:5" x14ac:dyDescent="0.35">
      <c r="A390" s="1" cm="1">
        <f t="array" ref="A390">INDEX(salesmonthly!$A$2:$A$5000, INT((ROW()-2)/8)+1)</f>
        <v>43131</v>
      </c>
      <c r="B390" cm="1">
        <f t="array" ref="B390">INDEX(salesmonthly!$J$2:$J$5000, INT((ROW()-2)/8)+1)</f>
        <v>2018</v>
      </c>
      <c r="C390" cm="1">
        <f t="array" ref="C390">INDEX(salesmonthly!$K$2:$K$5000, INT((ROW()-2)/8)+1)</f>
        <v>1</v>
      </c>
      <c r="D390" t="str" cm="1">
        <f t="array" ref="D390">INDEX(salesmonthly!$B$1:$I$1, MOD(ROW()-2,8)+1)</f>
        <v>N05B</v>
      </c>
      <c r="E390" cm="1">
        <f t="array" ref="E390">INDEX(salesmonthly!$B$2:$I$5000, INT((ROW()-2)/8)+1, MOD(ROW()-2,8)+1)</f>
        <v>229</v>
      </c>
    </row>
    <row r="391" spans="1:5" x14ac:dyDescent="0.35">
      <c r="A391" s="1" cm="1">
        <f t="array" ref="A391">INDEX(salesmonthly!$A$2:$A$5000, INT((ROW()-2)/8)+1)</f>
        <v>43131</v>
      </c>
      <c r="B391" cm="1">
        <f t="array" ref="B391">INDEX(salesmonthly!$J$2:$J$5000, INT((ROW()-2)/8)+1)</f>
        <v>2018</v>
      </c>
      <c r="C391" cm="1">
        <f t="array" ref="C391">INDEX(salesmonthly!$K$2:$K$5000, INT((ROW()-2)/8)+1)</f>
        <v>1</v>
      </c>
      <c r="D391" t="str" cm="1">
        <f t="array" ref="D391">INDEX(salesmonthly!$B$1:$I$1, MOD(ROW()-2,8)+1)</f>
        <v>N05C</v>
      </c>
      <c r="E391" cm="1">
        <f t="array" ref="E391">INDEX(salesmonthly!$B$2:$I$5000, INT((ROW()-2)/8)+1, MOD(ROW()-2,8)+1)</f>
        <v>11</v>
      </c>
    </row>
    <row r="392" spans="1:5" x14ac:dyDescent="0.35">
      <c r="A392" s="1" cm="1">
        <f t="array" ref="A392">INDEX(salesmonthly!$A$2:$A$5000, INT((ROW()-2)/8)+1)</f>
        <v>43131</v>
      </c>
      <c r="B392" cm="1">
        <f t="array" ref="B392">INDEX(salesmonthly!$J$2:$J$5000, INT((ROW()-2)/8)+1)</f>
        <v>2018</v>
      </c>
      <c r="C392" cm="1">
        <f t="array" ref="C392">INDEX(salesmonthly!$K$2:$K$5000, INT((ROW()-2)/8)+1)</f>
        <v>1</v>
      </c>
      <c r="D392" t="str" cm="1">
        <f t="array" ref="D392">INDEX(salesmonthly!$B$1:$I$1, MOD(ROW()-2,8)+1)</f>
        <v>R03</v>
      </c>
      <c r="E392" cm="1">
        <f t="array" ref="E392">INDEX(salesmonthly!$B$2:$I$5000, INT((ROW()-2)/8)+1, MOD(ROW()-2,8)+1)</f>
        <v>219</v>
      </c>
    </row>
    <row r="393" spans="1:5" x14ac:dyDescent="0.35">
      <c r="A393" s="1" cm="1">
        <f t="array" ref="A393">INDEX(salesmonthly!$A$2:$A$5000, INT((ROW()-2)/8)+1)</f>
        <v>43131</v>
      </c>
      <c r="B393" cm="1">
        <f t="array" ref="B393">INDEX(salesmonthly!$J$2:$J$5000, INT((ROW()-2)/8)+1)</f>
        <v>2018</v>
      </c>
      <c r="C393" cm="1">
        <f t="array" ref="C393">INDEX(salesmonthly!$K$2:$K$5000, INT((ROW()-2)/8)+1)</f>
        <v>1</v>
      </c>
      <c r="D393" t="str" cm="1">
        <f t="array" ref="D393">INDEX(salesmonthly!$B$1:$I$1, MOD(ROW()-2,8)+1)</f>
        <v>R06</v>
      </c>
      <c r="E393" cm="1">
        <f t="array" ref="E393">INDEX(salesmonthly!$B$2:$I$5000, INT((ROW()-2)/8)+1, MOD(ROW()-2,8)+1)</f>
        <v>49.5</v>
      </c>
    </row>
    <row r="394" spans="1:5" x14ac:dyDescent="0.35">
      <c r="A394" s="1" cm="1">
        <f t="array" ref="A394">INDEX(salesmonthly!$A$2:$A$5000, INT((ROW()-2)/8)+1)</f>
        <v>43159</v>
      </c>
      <c r="B394" cm="1">
        <f t="array" ref="B394">INDEX(salesmonthly!$J$2:$J$5000, INT((ROW()-2)/8)+1)</f>
        <v>2018</v>
      </c>
      <c r="C394" cm="1">
        <f t="array" ref="C394">INDEX(salesmonthly!$K$2:$K$5000, INT((ROW()-2)/8)+1)</f>
        <v>2</v>
      </c>
      <c r="D394" t="str" cm="1">
        <f t="array" ref="D394">INDEX(salesmonthly!$B$1:$I$1, MOD(ROW()-2,8)+1)</f>
        <v>M01AB</v>
      </c>
      <c r="E394" cm="1">
        <f t="array" ref="E394">INDEX(salesmonthly!$B$2:$I$5000, INT((ROW()-2)/8)+1, MOD(ROW()-2,8)+1)</f>
        <v>128.36000000000001</v>
      </c>
    </row>
    <row r="395" spans="1:5" x14ac:dyDescent="0.35">
      <c r="A395" s="1" cm="1">
        <f t="array" ref="A395">INDEX(salesmonthly!$A$2:$A$5000, INT((ROW()-2)/8)+1)</f>
        <v>43159</v>
      </c>
      <c r="B395" cm="1">
        <f t="array" ref="B395">INDEX(salesmonthly!$J$2:$J$5000, INT((ROW()-2)/8)+1)</f>
        <v>2018</v>
      </c>
      <c r="C395" cm="1">
        <f t="array" ref="C395">INDEX(salesmonthly!$K$2:$K$5000, INT((ROW()-2)/8)+1)</f>
        <v>2</v>
      </c>
      <c r="D395" t="str" cm="1">
        <f t="array" ref="D395">INDEX(salesmonthly!$B$1:$I$1, MOD(ROW()-2,8)+1)</f>
        <v>M01AE</v>
      </c>
      <c r="E395" t="str" cm="1">
        <f t="array" ref="E395">INDEX(salesmonthly!$B$2:$I$5000, INT((ROW()-2)/8)+1, MOD(ROW()-2,8)+1)</f>
        <v>132.80400000000014</v>
      </c>
    </row>
    <row r="396" spans="1:5" x14ac:dyDescent="0.35">
      <c r="A396" s="1" cm="1">
        <f t="array" ref="A396">INDEX(salesmonthly!$A$2:$A$5000, INT((ROW()-2)/8)+1)</f>
        <v>43159</v>
      </c>
      <c r="B396" cm="1">
        <f t="array" ref="B396">INDEX(salesmonthly!$J$2:$J$5000, INT((ROW()-2)/8)+1)</f>
        <v>2018</v>
      </c>
      <c r="C396" cm="1">
        <f t="array" ref="C396">INDEX(salesmonthly!$K$2:$K$5000, INT((ROW()-2)/8)+1)</f>
        <v>2</v>
      </c>
      <c r="D396" t="str" cm="1">
        <f t="array" ref="D396">INDEX(salesmonthly!$B$1:$I$1, MOD(ROW()-2,8)+1)</f>
        <v>N02BA</v>
      </c>
      <c r="E396" t="str" cm="1">
        <f t="array" ref="E396">INDEX(salesmonthly!$B$2:$I$5000, INT((ROW()-2)/8)+1, MOD(ROW()-2,8)+1)</f>
        <v>114.65000000000002</v>
      </c>
    </row>
    <row r="397" spans="1:5" x14ac:dyDescent="0.35">
      <c r="A397" s="1" cm="1">
        <f t="array" ref="A397">INDEX(salesmonthly!$A$2:$A$5000, INT((ROW()-2)/8)+1)</f>
        <v>43159</v>
      </c>
      <c r="B397" cm="1">
        <f t="array" ref="B397">INDEX(salesmonthly!$J$2:$J$5000, INT((ROW()-2)/8)+1)</f>
        <v>2018</v>
      </c>
      <c r="C397" cm="1">
        <f t="array" ref="C397">INDEX(salesmonthly!$K$2:$K$5000, INT((ROW()-2)/8)+1)</f>
        <v>2</v>
      </c>
      <c r="D397" t="str" cm="1">
        <f t="array" ref="D397">INDEX(salesmonthly!$B$1:$I$1, MOD(ROW()-2,8)+1)</f>
        <v>N02BE</v>
      </c>
      <c r="E397" t="str" cm="1">
        <f t="array" ref="E397">INDEX(salesmonthly!$B$2:$I$5000, INT((ROW()-2)/8)+1, MOD(ROW()-2,8)+1)</f>
        <v>1255.3740000000007</v>
      </c>
    </row>
    <row r="398" spans="1:5" x14ac:dyDescent="0.35">
      <c r="A398" s="1" cm="1">
        <f t="array" ref="A398">INDEX(salesmonthly!$A$2:$A$5000, INT((ROW()-2)/8)+1)</f>
        <v>43159</v>
      </c>
      <c r="B398" cm="1">
        <f t="array" ref="B398">INDEX(salesmonthly!$J$2:$J$5000, INT((ROW()-2)/8)+1)</f>
        <v>2018</v>
      </c>
      <c r="C398" cm="1">
        <f t="array" ref="C398">INDEX(salesmonthly!$K$2:$K$5000, INT((ROW()-2)/8)+1)</f>
        <v>2</v>
      </c>
      <c r="D398" t="str" cm="1">
        <f t="array" ref="D398">INDEX(salesmonthly!$B$1:$I$1, MOD(ROW()-2,8)+1)</f>
        <v>N05B</v>
      </c>
      <c r="E398" cm="1">
        <f t="array" ref="E398">INDEX(salesmonthly!$B$2:$I$5000, INT((ROW()-2)/8)+1, MOD(ROW()-2,8)+1)</f>
        <v>268</v>
      </c>
    </row>
    <row r="399" spans="1:5" x14ac:dyDescent="0.35">
      <c r="A399" s="1" cm="1">
        <f t="array" ref="A399">INDEX(salesmonthly!$A$2:$A$5000, INT((ROW()-2)/8)+1)</f>
        <v>43159</v>
      </c>
      <c r="B399" cm="1">
        <f t="array" ref="B399">INDEX(salesmonthly!$J$2:$J$5000, INT((ROW()-2)/8)+1)</f>
        <v>2018</v>
      </c>
      <c r="C399" cm="1">
        <f t="array" ref="C399">INDEX(salesmonthly!$K$2:$K$5000, INT((ROW()-2)/8)+1)</f>
        <v>2</v>
      </c>
      <c r="D399" t="str" cm="1">
        <f t="array" ref="D399">INDEX(salesmonthly!$B$1:$I$1, MOD(ROW()-2,8)+1)</f>
        <v>N05C</v>
      </c>
      <c r="E399" cm="1">
        <f t="array" ref="E399">INDEX(salesmonthly!$B$2:$I$5000, INT((ROW()-2)/8)+1, MOD(ROW()-2,8)+1)</f>
        <v>12</v>
      </c>
    </row>
    <row r="400" spans="1:5" x14ac:dyDescent="0.35">
      <c r="A400" s="1" cm="1">
        <f t="array" ref="A400">INDEX(salesmonthly!$A$2:$A$5000, INT((ROW()-2)/8)+1)</f>
        <v>43159</v>
      </c>
      <c r="B400" cm="1">
        <f t="array" ref="B400">INDEX(salesmonthly!$J$2:$J$5000, INT((ROW()-2)/8)+1)</f>
        <v>2018</v>
      </c>
      <c r="C400" cm="1">
        <f t="array" ref="C400">INDEX(salesmonthly!$K$2:$K$5000, INT((ROW()-2)/8)+1)</f>
        <v>2</v>
      </c>
      <c r="D400" t="str" cm="1">
        <f t="array" ref="D400">INDEX(salesmonthly!$B$1:$I$1, MOD(ROW()-2,8)+1)</f>
        <v>R03</v>
      </c>
      <c r="E400" cm="1">
        <f t="array" ref="E400">INDEX(salesmonthly!$B$2:$I$5000, INT((ROW()-2)/8)+1, MOD(ROW()-2,8)+1)</f>
        <v>253</v>
      </c>
    </row>
    <row r="401" spans="1:5" x14ac:dyDescent="0.35">
      <c r="A401" s="1" cm="1">
        <f t="array" ref="A401">INDEX(salesmonthly!$A$2:$A$5000, INT((ROW()-2)/8)+1)</f>
        <v>43159</v>
      </c>
      <c r="B401" cm="1">
        <f t="array" ref="B401">INDEX(salesmonthly!$J$2:$J$5000, INT((ROW()-2)/8)+1)</f>
        <v>2018</v>
      </c>
      <c r="C401" cm="1">
        <f t="array" ref="C401">INDEX(salesmonthly!$K$2:$K$5000, INT((ROW()-2)/8)+1)</f>
        <v>2</v>
      </c>
      <c r="D401" t="str" cm="1">
        <f t="array" ref="D401">INDEX(salesmonthly!$B$1:$I$1, MOD(ROW()-2,8)+1)</f>
        <v>R06</v>
      </c>
      <c r="E401" cm="1">
        <f t="array" ref="E401">INDEX(salesmonthly!$B$2:$I$5000, INT((ROW()-2)/8)+1, MOD(ROW()-2,8)+1)</f>
        <v>39.06</v>
      </c>
    </row>
    <row r="402" spans="1:5" x14ac:dyDescent="0.35">
      <c r="A402" s="1" cm="1">
        <f t="array" ref="A402">INDEX(salesmonthly!$A$2:$A$5000, INT((ROW()-2)/8)+1)</f>
        <v>43190</v>
      </c>
      <c r="B402" cm="1">
        <f t="array" ref="B402">INDEX(salesmonthly!$J$2:$J$5000, INT((ROW()-2)/8)+1)</f>
        <v>2018</v>
      </c>
      <c r="C402" cm="1">
        <f t="array" ref="C402">INDEX(salesmonthly!$K$2:$K$5000, INT((ROW()-2)/8)+1)</f>
        <v>3</v>
      </c>
      <c r="D402" t="str" cm="1">
        <f t="array" ref="D402">INDEX(salesmonthly!$B$1:$I$1, MOD(ROW()-2,8)+1)</f>
        <v>M01AB</v>
      </c>
      <c r="E402" cm="1">
        <f t="array" ref="E402">INDEX(salesmonthly!$B$2:$I$5000, INT((ROW()-2)/8)+1, MOD(ROW()-2,8)+1)</f>
        <v>146.16</v>
      </c>
    </row>
    <row r="403" spans="1:5" x14ac:dyDescent="0.35">
      <c r="A403" s="1" cm="1">
        <f t="array" ref="A403">INDEX(salesmonthly!$A$2:$A$5000, INT((ROW()-2)/8)+1)</f>
        <v>43190</v>
      </c>
      <c r="B403" cm="1">
        <f t="array" ref="B403">INDEX(salesmonthly!$J$2:$J$5000, INT((ROW()-2)/8)+1)</f>
        <v>2018</v>
      </c>
      <c r="C403" cm="1">
        <f t="array" ref="C403">INDEX(salesmonthly!$K$2:$K$5000, INT((ROW()-2)/8)+1)</f>
        <v>3</v>
      </c>
      <c r="D403" t="str" cm="1">
        <f t="array" ref="D403">INDEX(salesmonthly!$B$1:$I$1, MOD(ROW()-2,8)+1)</f>
        <v>M01AE</v>
      </c>
      <c r="E403" t="str" cm="1">
        <f t="array" ref="E403">INDEX(salesmonthly!$B$2:$I$5000, INT((ROW()-2)/8)+1, MOD(ROW()-2,8)+1)</f>
        <v>111.76400000000001</v>
      </c>
    </row>
    <row r="404" spans="1:5" x14ac:dyDescent="0.35">
      <c r="A404" s="1" cm="1">
        <f t="array" ref="A404">INDEX(salesmonthly!$A$2:$A$5000, INT((ROW()-2)/8)+1)</f>
        <v>43190</v>
      </c>
      <c r="B404" cm="1">
        <f t="array" ref="B404">INDEX(salesmonthly!$J$2:$J$5000, INT((ROW()-2)/8)+1)</f>
        <v>2018</v>
      </c>
      <c r="C404" cm="1">
        <f t="array" ref="C404">INDEX(salesmonthly!$K$2:$K$5000, INT((ROW()-2)/8)+1)</f>
        <v>3</v>
      </c>
      <c r="D404" t="str" cm="1">
        <f t="array" ref="D404">INDEX(salesmonthly!$B$1:$I$1, MOD(ROW()-2,8)+1)</f>
        <v>N02BA</v>
      </c>
      <c r="E404" t="str" cm="1">
        <f t="array" ref="E404">INDEX(salesmonthly!$B$2:$I$5000, INT((ROW()-2)/8)+1, MOD(ROW()-2,8)+1)</f>
        <v>122.30000000000001</v>
      </c>
    </row>
    <row r="405" spans="1:5" x14ac:dyDescent="0.35">
      <c r="A405" s="1" cm="1">
        <f t="array" ref="A405">INDEX(salesmonthly!$A$2:$A$5000, INT((ROW()-2)/8)+1)</f>
        <v>43190</v>
      </c>
      <c r="B405" cm="1">
        <f t="array" ref="B405">INDEX(salesmonthly!$J$2:$J$5000, INT((ROW()-2)/8)+1)</f>
        <v>2018</v>
      </c>
      <c r="C405" cm="1">
        <f t="array" ref="C405">INDEX(salesmonthly!$K$2:$K$5000, INT((ROW()-2)/8)+1)</f>
        <v>3</v>
      </c>
      <c r="D405" t="str" cm="1">
        <f t="array" ref="D405">INDEX(salesmonthly!$B$1:$I$1, MOD(ROW()-2,8)+1)</f>
        <v>N02BE</v>
      </c>
      <c r="E405" t="str" cm="1">
        <f t="array" ref="E405">INDEX(salesmonthly!$B$2:$I$5000, INT((ROW()-2)/8)+1, MOD(ROW()-2,8)+1)</f>
        <v>999.1230000000004</v>
      </c>
    </row>
    <row r="406" spans="1:5" x14ac:dyDescent="0.35">
      <c r="A406" s="1" cm="1">
        <f t="array" ref="A406">INDEX(salesmonthly!$A$2:$A$5000, INT((ROW()-2)/8)+1)</f>
        <v>43190</v>
      </c>
      <c r="B406" cm="1">
        <f t="array" ref="B406">INDEX(salesmonthly!$J$2:$J$5000, INT((ROW()-2)/8)+1)</f>
        <v>2018</v>
      </c>
      <c r="C406" cm="1">
        <f t="array" ref="C406">INDEX(salesmonthly!$K$2:$K$5000, INT((ROW()-2)/8)+1)</f>
        <v>3</v>
      </c>
      <c r="D406" t="str" cm="1">
        <f t="array" ref="D406">INDEX(salesmonthly!$B$1:$I$1, MOD(ROW()-2,8)+1)</f>
        <v>N05B</v>
      </c>
      <c r="E406" cm="1">
        <f t="array" ref="E406">INDEX(salesmonthly!$B$2:$I$5000, INT((ROW()-2)/8)+1, MOD(ROW()-2,8)+1)</f>
        <v>381</v>
      </c>
    </row>
    <row r="407" spans="1:5" x14ac:dyDescent="0.35">
      <c r="A407" s="1" cm="1">
        <f t="array" ref="A407">INDEX(salesmonthly!$A$2:$A$5000, INT((ROW()-2)/8)+1)</f>
        <v>43190</v>
      </c>
      <c r="B407" cm="1">
        <f t="array" ref="B407">INDEX(salesmonthly!$J$2:$J$5000, INT((ROW()-2)/8)+1)</f>
        <v>2018</v>
      </c>
      <c r="C407" cm="1">
        <f t="array" ref="C407">INDEX(salesmonthly!$K$2:$K$5000, INT((ROW()-2)/8)+1)</f>
        <v>3</v>
      </c>
      <c r="D407" t="str" cm="1">
        <f t="array" ref="D407">INDEX(salesmonthly!$B$1:$I$1, MOD(ROW()-2,8)+1)</f>
        <v>N05C</v>
      </c>
      <c r="E407" cm="1">
        <f t="array" ref="E407">INDEX(salesmonthly!$B$2:$I$5000, INT((ROW()-2)/8)+1, MOD(ROW()-2,8)+1)</f>
        <v>42</v>
      </c>
    </row>
    <row r="408" spans="1:5" x14ac:dyDescent="0.35">
      <c r="A408" s="1" cm="1">
        <f t="array" ref="A408">INDEX(salesmonthly!$A$2:$A$5000, INT((ROW()-2)/8)+1)</f>
        <v>43190</v>
      </c>
      <c r="B408" cm="1">
        <f t="array" ref="B408">INDEX(salesmonthly!$J$2:$J$5000, INT((ROW()-2)/8)+1)</f>
        <v>2018</v>
      </c>
      <c r="C408" cm="1">
        <f t="array" ref="C408">INDEX(salesmonthly!$K$2:$K$5000, INT((ROW()-2)/8)+1)</f>
        <v>3</v>
      </c>
      <c r="D408" t="str" cm="1">
        <f t="array" ref="D408">INDEX(salesmonthly!$B$1:$I$1, MOD(ROW()-2,8)+1)</f>
        <v>R03</v>
      </c>
      <c r="E408" cm="1">
        <f t="array" ref="E408">INDEX(salesmonthly!$B$2:$I$5000, INT((ROW()-2)/8)+1, MOD(ROW()-2,8)+1)</f>
        <v>269</v>
      </c>
    </row>
    <row r="409" spans="1:5" x14ac:dyDescent="0.35">
      <c r="A409" s="1" cm="1">
        <f t="array" ref="A409">INDEX(salesmonthly!$A$2:$A$5000, INT((ROW()-2)/8)+1)</f>
        <v>43190</v>
      </c>
      <c r="B409" cm="1">
        <f t="array" ref="B409">INDEX(salesmonthly!$J$2:$J$5000, INT((ROW()-2)/8)+1)</f>
        <v>2018</v>
      </c>
      <c r="C409" cm="1">
        <f t="array" ref="C409">INDEX(salesmonthly!$K$2:$K$5000, INT((ROW()-2)/8)+1)</f>
        <v>3</v>
      </c>
      <c r="D409" t="str" cm="1">
        <f t="array" ref="D409">INDEX(salesmonthly!$B$1:$I$1, MOD(ROW()-2,8)+1)</f>
        <v>R06</v>
      </c>
      <c r="E409" cm="1">
        <f t="array" ref="E409">INDEX(salesmonthly!$B$2:$I$5000, INT((ROW()-2)/8)+1, MOD(ROW()-2,8)+1)</f>
        <v>85.5</v>
      </c>
    </row>
    <row r="410" spans="1:5" x14ac:dyDescent="0.35">
      <c r="A410" s="1" cm="1">
        <f t="array" ref="A410">INDEX(salesmonthly!$A$2:$A$5000, INT((ROW()-2)/8)+1)</f>
        <v>43220</v>
      </c>
      <c r="B410" cm="1">
        <f t="array" ref="B410">INDEX(salesmonthly!$J$2:$J$5000, INT((ROW()-2)/8)+1)</f>
        <v>2018</v>
      </c>
      <c r="C410" cm="1">
        <f t="array" ref="C410">INDEX(salesmonthly!$K$2:$K$5000, INT((ROW()-2)/8)+1)</f>
        <v>4</v>
      </c>
      <c r="D410" t="str" cm="1">
        <f t="array" ref="D410">INDEX(salesmonthly!$B$1:$I$1, MOD(ROW()-2,8)+1)</f>
        <v>M01AB</v>
      </c>
      <c r="E410" t="str" cm="1">
        <f t="array" ref="E410">INDEX(salesmonthly!$B$2:$I$5000, INT((ROW()-2)/8)+1, MOD(ROW()-2,8)+1)</f>
        <v>170.02000000000007</v>
      </c>
    </row>
    <row r="411" spans="1:5" x14ac:dyDescent="0.35">
      <c r="A411" s="1" cm="1">
        <f t="array" ref="A411">INDEX(salesmonthly!$A$2:$A$5000, INT((ROW()-2)/8)+1)</f>
        <v>43220</v>
      </c>
      <c r="B411" cm="1">
        <f t="array" ref="B411">INDEX(salesmonthly!$J$2:$J$5000, INT((ROW()-2)/8)+1)</f>
        <v>2018</v>
      </c>
      <c r="C411" cm="1">
        <f t="array" ref="C411">INDEX(salesmonthly!$K$2:$K$5000, INT((ROW()-2)/8)+1)</f>
        <v>4</v>
      </c>
      <c r="D411" t="str" cm="1">
        <f t="array" ref="D411">INDEX(salesmonthly!$B$1:$I$1, MOD(ROW()-2,8)+1)</f>
        <v>M01AE</v>
      </c>
      <c r="E411" t="str" cm="1">
        <f t="array" ref="E411">INDEX(salesmonthly!$B$2:$I$5000, INT((ROW()-2)/8)+1, MOD(ROW()-2,8)+1)</f>
        <v>107.72300000000001</v>
      </c>
    </row>
    <row r="412" spans="1:5" x14ac:dyDescent="0.35">
      <c r="A412" s="1" cm="1">
        <f t="array" ref="A412">INDEX(salesmonthly!$A$2:$A$5000, INT((ROW()-2)/8)+1)</f>
        <v>43220</v>
      </c>
      <c r="B412" cm="1">
        <f t="array" ref="B412">INDEX(salesmonthly!$J$2:$J$5000, INT((ROW()-2)/8)+1)</f>
        <v>2018</v>
      </c>
      <c r="C412" cm="1">
        <f t="array" ref="C412">INDEX(salesmonthly!$K$2:$K$5000, INT((ROW()-2)/8)+1)</f>
        <v>4</v>
      </c>
      <c r="D412" t="str" cm="1">
        <f t="array" ref="D412">INDEX(salesmonthly!$B$1:$I$1, MOD(ROW()-2,8)+1)</f>
        <v>N02BA</v>
      </c>
      <c r="E412" t="str" cm="1">
        <f t="array" ref="E412">INDEX(salesmonthly!$B$2:$I$5000, INT((ROW()-2)/8)+1, MOD(ROW()-2,8)+1)</f>
        <v>84.60000000000001</v>
      </c>
    </row>
    <row r="413" spans="1:5" x14ac:dyDescent="0.35">
      <c r="A413" s="1" cm="1">
        <f t="array" ref="A413">INDEX(salesmonthly!$A$2:$A$5000, INT((ROW()-2)/8)+1)</f>
        <v>43220</v>
      </c>
      <c r="B413" cm="1">
        <f t="array" ref="B413">INDEX(salesmonthly!$J$2:$J$5000, INT((ROW()-2)/8)+1)</f>
        <v>2018</v>
      </c>
      <c r="C413" cm="1">
        <f t="array" ref="C413">INDEX(salesmonthly!$K$2:$K$5000, INT((ROW()-2)/8)+1)</f>
        <v>4</v>
      </c>
      <c r="D413" t="str" cm="1">
        <f t="array" ref="D413">INDEX(salesmonthly!$B$1:$I$1, MOD(ROW()-2,8)+1)</f>
        <v>N02BE</v>
      </c>
      <c r="E413" t="str" cm="1">
        <f t="array" ref="E413">INDEX(salesmonthly!$B$2:$I$5000, INT((ROW()-2)/8)+1, MOD(ROW()-2,8)+1)</f>
        <v>836.0369999999999</v>
      </c>
    </row>
    <row r="414" spans="1:5" x14ac:dyDescent="0.35">
      <c r="A414" s="1" cm="1">
        <f t="array" ref="A414">INDEX(salesmonthly!$A$2:$A$5000, INT((ROW()-2)/8)+1)</f>
        <v>43220</v>
      </c>
      <c r="B414" cm="1">
        <f t="array" ref="B414">INDEX(salesmonthly!$J$2:$J$5000, INT((ROW()-2)/8)+1)</f>
        <v>2018</v>
      </c>
      <c r="C414" cm="1">
        <f t="array" ref="C414">INDEX(salesmonthly!$K$2:$K$5000, INT((ROW()-2)/8)+1)</f>
        <v>4</v>
      </c>
      <c r="D414" t="str" cm="1">
        <f t="array" ref="D414">INDEX(salesmonthly!$B$1:$I$1, MOD(ROW()-2,8)+1)</f>
        <v>N05B</v>
      </c>
      <c r="E414" cm="1">
        <f t="array" ref="E414">INDEX(salesmonthly!$B$2:$I$5000, INT((ROW()-2)/8)+1, MOD(ROW()-2,8)+1)</f>
        <v>289</v>
      </c>
    </row>
    <row r="415" spans="1:5" x14ac:dyDescent="0.35">
      <c r="A415" s="1" cm="1">
        <f t="array" ref="A415">INDEX(salesmonthly!$A$2:$A$5000, INT((ROW()-2)/8)+1)</f>
        <v>43220</v>
      </c>
      <c r="B415" cm="1">
        <f t="array" ref="B415">INDEX(salesmonthly!$J$2:$J$5000, INT((ROW()-2)/8)+1)</f>
        <v>2018</v>
      </c>
      <c r="C415" cm="1">
        <f t="array" ref="C415">INDEX(salesmonthly!$K$2:$K$5000, INT((ROW()-2)/8)+1)</f>
        <v>4</v>
      </c>
      <c r="D415" t="str" cm="1">
        <f t="array" ref="D415">INDEX(salesmonthly!$B$1:$I$1, MOD(ROW()-2,8)+1)</f>
        <v>N05C</v>
      </c>
      <c r="E415" cm="1">
        <f t="array" ref="E415">INDEX(salesmonthly!$B$2:$I$5000, INT((ROW()-2)/8)+1, MOD(ROW()-2,8)+1)</f>
        <v>21</v>
      </c>
    </row>
    <row r="416" spans="1:5" x14ac:dyDescent="0.35">
      <c r="A416" s="1" cm="1">
        <f t="array" ref="A416">INDEX(salesmonthly!$A$2:$A$5000, INT((ROW()-2)/8)+1)</f>
        <v>43220</v>
      </c>
      <c r="B416" cm="1">
        <f t="array" ref="B416">INDEX(salesmonthly!$J$2:$J$5000, INT((ROW()-2)/8)+1)</f>
        <v>2018</v>
      </c>
      <c r="C416" cm="1">
        <f t="array" ref="C416">INDEX(salesmonthly!$K$2:$K$5000, INT((ROW()-2)/8)+1)</f>
        <v>4</v>
      </c>
      <c r="D416" t="str" cm="1">
        <f t="array" ref="D416">INDEX(salesmonthly!$B$1:$I$1, MOD(ROW()-2,8)+1)</f>
        <v>R03</v>
      </c>
      <c r="E416" cm="1">
        <f t="array" ref="E416">INDEX(salesmonthly!$B$2:$I$5000, INT((ROW()-2)/8)+1, MOD(ROW()-2,8)+1)</f>
        <v>229</v>
      </c>
    </row>
    <row r="417" spans="1:5" x14ac:dyDescent="0.35">
      <c r="A417" s="1" cm="1">
        <f t="array" ref="A417">INDEX(salesmonthly!$A$2:$A$5000, INT((ROW()-2)/8)+1)</f>
        <v>43220</v>
      </c>
      <c r="B417" cm="1">
        <f t="array" ref="B417">INDEX(salesmonthly!$J$2:$J$5000, INT((ROW()-2)/8)+1)</f>
        <v>2018</v>
      </c>
      <c r="C417" cm="1">
        <f t="array" ref="C417">INDEX(salesmonthly!$K$2:$K$5000, INT((ROW()-2)/8)+1)</f>
        <v>4</v>
      </c>
      <c r="D417" t="str" cm="1">
        <f t="array" ref="D417">INDEX(salesmonthly!$B$1:$I$1, MOD(ROW()-2,8)+1)</f>
        <v>R06</v>
      </c>
      <c r="E417" cm="1">
        <f t="array" ref="E417">INDEX(salesmonthly!$B$2:$I$5000, INT((ROW()-2)/8)+1, MOD(ROW()-2,8)+1)</f>
        <v>197.1</v>
      </c>
    </row>
    <row r="418" spans="1:5" x14ac:dyDescent="0.35">
      <c r="A418" s="1" cm="1">
        <f t="array" ref="A418">INDEX(salesmonthly!$A$2:$A$5000, INT((ROW()-2)/8)+1)</f>
        <v>43251</v>
      </c>
      <c r="B418" cm="1">
        <f t="array" ref="B418">INDEX(salesmonthly!$J$2:$J$5000, INT((ROW()-2)/8)+1)</f>
        <v>2018</v>
      </c>
      <c r="C418" cm="1">
        <f t="array" ref="C418">INDEX(salesmonthly!$K$2:$K$5000, INT((ROW()-2)/8)+1)</f>
        <v>5</v>
      </c>
      <c r="D418" t="str" cm="1">
        <f t="array" ref="D418">INDEX(salesmonthly!$B$1:$I$1, MOD(ROW()-2,8)+1)</f>
        <v>M01AB</v>
      </c>
      <c r="E418" t="str" cm="1">
        <f t="array" ref="E418">INDEX(salesmonthly!$B$2:$I$5000, INT((ROW()-2)/8)+1, MOD(ROW()-2,8)+1)</f>
        <v>160.52000000000004</v>
      </c>
    </row>
    <row r="419" spans="1:5" x14ac:dyDescent="0.35">
      <c r="A419" s="1" cm="1">
        <f t="array" ref="A419">INDEX(salesmonthly!$A$2:$A$5000, INT((ROW()-2)/8)+1)</f>
        <v>43251</v>
      </c>
      <c r="B419" cm="1">
        <f t="array" ref="B419">INDEX(salesmonthly!$J$2:$J$5000, INT((ROW()-2)/8)+1)</f>
        <v>2018</v>
      </c>
      <c r="C419" cm="1">
        <f t="array" ref="C419">INDEX(salesmonthly!$K$2:$K$5000, INT((ROW()-2)/8)+1)</f>
        <v>5</v>
      </c>
      <c r="D419" t="str" cm="1">
        <f t="array" ref="D419">INDEX(salesmonthly!$B$1:$I$1, MOD(ROW()-2,8)+1)</f>
        <v>M01AE</v>
      </c>
      <c r="E419" t="str" cm="1">
        <f t="array" ref="E419">INDEX(salesmonthly!$B$2:$I$5000, INT((ROW()-2)/8)+1, MOD(ROW()-2,8)+1)</f>
        <v>103.52199999999999</v>
      </c>
    </row>
    <row r="420" spans="1:5" x14ac:dyDescent="0.35">
      <c r="A420" s="1" cm="1">
        <f t="array" ref="A420">INDEX(salesmonthly!$A$2:$A$5000, INT((ROW()-2)/8)+1)</f>
        <v>43251</v>
      </c>
      <c r="B420" cm="1">
        <f t="array" ref="B420">INDEX(salesmonthly!$J$2:$J$5000, INT((ROW()-2)/8)+1)</f>
        <v>2018</v>
      </c>
      <c r="C420" cm="1">
        <f t="array" ref="C420">INDEX(salesmonthly!$K$2:$K$5000, INT((ROW()-2)/8)+1)</f>
        <v>5</v>
      </c>
      <c r="D420" t="str" cm="1">
        <f t="array" ref="D420">INDEX(salesmonthly!$B$1:$I$1, MOD(ROW()-2,8)+1)</f>
        <v>N02BA</v>
      </c>
      <c r="E420" t="str" cm="1">
        <f t="array" ref="E420">INDEX(salesmonthly!$B$2:$I$5000, INT((ROW()-2)/8)+1, MOD(ROW()-2,8)+1)</f>
        <v>89.39999999999999</v>
      </c>
    </row>
    <row r="421" spans="1:5" x14ac:dyDescent="0.35">
      <c r="A421" s="1" cm="1">
        <f t="array" ref="A421">INDEX(salesmonthly!$A$2:$A$5000, INT((ROW()-2)/8)+1)</f>
        <v>43251</v>
      </c>
      <c r="B421" cm="1">
        <f t="array" ref="B421">INDEX(salesmonthly!$J$2:$J$5000, INT((ROW()-2)/8)+1)</f>
        <v>2018</v>
      </c>
      <c r="C421" cm="1">
        <f t="array" ref="C421">INDEX(salesmonthly!$K$2:$K$5000, INT((ROW()-2)/8)+1)</f>
        <v>5</v>
      </c>
      <c r="D421" t="str" cm="1">
        <f t="array" ref="D421">INDEX(salesmonthly!$B$1:$I$1, MOD(ROW()-2,8)+1)</f>
        <v>N02BE</v>
      </c>
      <c r="E421" t="str" cm="1">
        <f t="array" ref="E421">INDEX(salesmonthly!$B$2:$I$5000, INT((ROW()-2)/8)+1, MOD(ROW()-2,8)+1)</f>
        <v>644.6480000000004</v>
      </c>
    </row>
    <row r="422" spans="1:5" x14ac:dyDescent="0.35">
      <c r="A422" s="1" cm="1">
        <f t="array" ref="A422">INDEX(salesmonthly!$A$2:$A$5000, INT((ROW()-2)/8)+1)</f>
        <v>43251</v>
      </c>
      <c r="B422" cm="1">
        <f t="array" ref="B422">INDEX(salesmonthly!$J$2:$J$5000, INT((ROW()-2)/8)+1)</f>
        <v>2018</v>
      </c>
      <c r="C422" cm="1">
        <f t="array" ref="C422">INDEX(salesmonthly!$K$2:$K$5000, INT((ROW()-2)/8)+1)</f>
        <v>5</v>
      </c>
      <c r="D422" t="str" cm="1">
        <f t="array" ref="D422">INDEX(salesmonthly!$B$1:$I$1, MOD(ROW()-2,8)+1)</f>
        <v>N05B</v>
      </c>
      <c r="E422" cm="1">
        <f t="array" ref="E422">INDEX(salesmonthly!$B$2:$I$5000, INT((ROW()-2)/8)+1, MOD(ROW()-2,8)+1)</f>
        <v>259</v>
      </c>
    </row>
    <row r="423" spans="1:5" x14ac:dyDescent="0.35">
      <c r="A423" s="1" cm="1">
        <f t="array" ref="A423">INDEX(salesmonthly!$A$2:$A$5000, INT((ROW()-2)/8)+1)</f>
        <v>43251</v>
      </c>
      <c r="B423" cm="1">
        <f t="array" ref="B423">INDEX(salesmonthly!$J$2:$J$5000, INT((ROW()-2)/8)+1)</f>
        <v>2018</v>
      </c>
      <c r="C423" cm="1">
        <f t="array" ref="C423">INDEX(salesmonthly!$K$2:$K$5000, INT((ROW()-2)/8)+1)</f>
        <v>5</v>
      </c>
      <c r="D423" t="str" cm="1">
        <f t="array" ref="D423">INDEX(salesmonthly!$B$1:$I$1, MOD(ROW()-2,8)+1)</f>
        <v>N05C</v>
      </c>
      <c r="E423" cm="1">
        <f t="array" ref="E423">INDEX(salesmonthly!$B$2:$I$5000, INT((ROW()-2)/8)+1, MOD(ROW()-2,8)+1)</f>
        <v>13</v>
      </c>
    </row>
    <row r="424" spans="1:5" x14ac:dyDescent="0.35">
      <c r="A424" s="1" cm="1">
        <f t="array" ref="A424">INDEX(salesmonthly!$A$2:$A$5000, INT((ROW()-2)/8)+1)</f>
        <v>43251</v>
      </c>
      <c r="B424" cm="1">
        <f t="array" ref="B424">INDEX(salesmonthly!$J$2:$J$5000, INT((ROW()-2)/8)+1)</f>
        <v>2018</v>
      </c>
      <c r="C424" cm="1">
        <f t="array" ref="C424">INDEX(salesmonthly!$K$2:$K$5000, INT((ROW()-2)/8)+1)</f>
        <v>5</v>
      </c>
      <c r="D424" t="str" cm="1">
        <f t="array" ref="D424">INDEX(salesmonthly!$B$1:$I$1, MOD(ROW()-2,8)+1)</f>
        <v>R03</v>
      </c>
      <c r="E424" cm="1">
        <f t="array" ref="E424">INDEX(salesmonthly!$B$2:$I$5000, INT((ROW()-2)/8)+1, MOD(ROW()-2,8)+1)</f>
        <v>192</v>
      </c>
    </row>
    <row r="425" spans="1:5" x14ac:dyDescent="0.35">
      <c r="A425" s="1" cm="1">
        <f t="array" ref="A425">INDEX(salesmonthly!$A$2:$A$5000, INT((ROW()-2)/8)+1)</f>
        <v>43251</v>
      </c>
      <c r="B425" cm="1">
        <f t="array" ref="B425">INDEX(salesmonthly!$J$2:$J$5000, INT((ROW()-2)/8)+1)</f>
        <v>2018</v>
      </c>
      <c r="C425" cm="1">
        <f t="array" ref="C425">INDEX(salesmonthly!$K$2:$K$5000, INT((ROW()-2)/8)+1)</f>
        <v>5</v>
      </c>
      <c r="D425" t="str" cm="1">
        <f t="array" ref="D425">INDEX(salesmonthly!$B$1:$I$1, MOD(ROW()-2,8)+1)</f>
        <v>R06</v>
      </c>
      <c r="E425" t="str" cm="1">
        <f t="array" ref="E425">INDEX(salesmonthly!$B$2:$I$5000, INT((ROW()-2)/8)+1, MOD(ROW()-2,8)+1)</f>
        <v>213.04000000000002</v>
      </c>
    </row>
    <row r="426" spans="1:5" x14ac:dyDescent="0.35">
      <c r="A426" s="1" cm="1">
        <f t="array" ref="A426">INDEX(salesmonthly!$A$2:$A$5000, INT((ROW()-2)/8)+1)</f>
        <v>43281</v>
      </c>
      <c r="B426" cm="1">
        <f t="array" ref="B426">INDEX(salesmonthly!$J$2:$J$5000, INT((ROW()-2)/8)+1)</f>
        <v>2018</v>
      </c>
      <c r="C426" cm="1">
        <f t="array" ref="C426">INDEX(salesmonthly!$K$2:$K$5000, INT((ROW()-2)/8)+1)</f>
        <v>6</v>
      </c>
      <c r="D426" t="str" cm="1">
        <f t="array" ref="D426">INDEX(salesmonthly!$B$1:$I$1, MOD(ROW()-2,8)+1)</f>
        <v>M01AB</v>
      </c>
      <c r="E426" cm="1">
        <f t="array" ref="E426">INDEX(salesmonthly!$B$2:$I$5000, INT((ROW()-2)/8)+1, MOD(ROW()-2,8)+1)</f>
        <v>141.18</v>
      </c>
    </row>
    <row r="427" spans="1:5" x14ac:dyDescent="0.35">
      <c r="A427" s="1" cm="1">
        <f t="array" ref="A427">INDEX(salesmonthly!$A$2:$A$5000, INT((ROW()-2)/8)+1)</f>
        <v>43281</v>
      </c>
      <c r="B427" cm="1">
        <f t="array" ref="B427">INDEX(salesmonthly!$J$2:$J$5000, INT((ROW()-2)/8)+1)</f>
        <v>2018</v>
      </c>
      <c r="C427" cm="1">
        <f t="array" ref="C427">INDEX(salesmonthly!$K$2:$K$5000, INT((ROW()-2)/8)+1)</f>
        <v>6</v>
      </c>
      <c r="D427" t="str" cm="1">
        <f t="array" ref="D427">INDEX(salesmonthly!$B$1:$I$1, MOD(ROW()-2,8)+1)</f>
        <v>M01AE</v>
      </c>
      <c r="E427" t="str" cm="1">
        <f t="array" ref="E427">INDEX(salesmonthly!$B$2:$I$5000, INT((ROW()-2)/8)+1, MOD(ROW()-2,8)+1)</f>
        <v>114.22600000000004</v>
      </c>
    </row>
    <row r="428" spans="1:5" x14ac:dyDescent="0.35">
      <c r="A428" s="1" cm="1">
        <f t="array" ref="A428">INDEX(salesmonthly!$A$2:$A$5000, INT((ROW()-2)/8)+1)</f>
        <v>43281</v>
      </c>
      <c r="B428" cm="1">
        <f t="array" ref="B428">INDEX(salesmonthly!$J$2:$J$5000, INT((ROW()-2)/8)+1)</f>
        <v>2018</v>
      </c>
      <c r="C428" cm="1">
        <f t="array" ref="C428">INDEX(salesmonthly!$K$2:$K$5000, INT((ROW()-2)/8)+1)</f>
        <v>6</v>
      </c>
      <c r="D428" t="str" cm="1">
        <f t="array" ref="D428">INDEX(salesmonthly!$B$1:$I$1, MOD(ROW()-2,8)+1)</f>
        <v>N02BA</v>
      </c>
      <c r="E428" t="str" cm="1">
        <f t="array" ref="E428">INDEX(salesmonthly!$B$2:$I$5000, INT((ROW()-2)/8)+1, MOD(ROW()-2,8)+1)</f>
        <v>86.80000000000001</v>
      </c>
    </row>
    <row r="429" spans="1:5" x14ac:dyDescent="0.35">
      <c r="A429" s="1" cm="1">
        <f t="array" ref="A429">INDEX(salesmonthly!$A$2:$A$5000, INT((ROW()-2)/8)+1)</f>
        <v>43281</v>
      </c>
      <c r="B429" cm="1">
        <f t="array" ref="B429">INDEX(salesmonthly!$J$2:$J$5000, INT((ROW()-2)/8)+1)</f>
        <v>2018</v>
      </c>
      <c r="C429" cm="1">
        <f t="array" ref="C429">INDEX(salesmonthly!$K$2:$K$5000, INT((ROW()-2)/8)+1)</f>
        <v>6</v>
      </c>
      <c r="D429" t="str" cm="1">
        <f t="array" ref="D429">INDEX(salesmonthly!$B$1:$I$1, MOD(ROW()-2,8)+1)</f>
        <v>N02BE</v>
      </c>
      <c r="E429" cm="1">
        <f t="array" ref="E429">INDEX(salesmonthly!$B$2:$I$5000, INT((ROW()-2)/8)+1, MOD(ROW()-2,8)+1)</f>
        <v>584.34299999999996</v>
      </c>
    </row>
    <row r="430" spans="1:5" x14ac:dyDescent="0.35">
      <c r="A430" s="1" cm="1">
        <f t="array" ref="A430">INDEX(salesmonthly!$A$2:$A$5000, INT((ROW()-2)/8)+1)</f>
        <v>43281</v>
      </c>
      <c r="B430" cm="1">
        <f t="array" ref="B430">INDEX(salesmonthly!$J$2:$J$5000, INT((ROW()-2)/8)+1)</f>
        <v>2018</v>
      </c>
      <c r="C430" cm="1">
        <f t="array" ref="C430">INDEX(salesmonthly!$K$2:$K$5000, INT((ROW()-2)/8)+1)</f>
        <v>6</v>
      </c>
      <c r="D430" t="str" cm="1">
        <f t="array" ref="D430">INDEX(salesmonthly!$B$1:$I$1, MOD(ROW()-2,8)+1)</f>
        <v>N05B</v>
      </c>
      <c r="E430" cm="1">
        <f t="array" ref="E430">INDEX(salesmonthly!$B$2:$I$5000, INT((ROW()-2)/8)+1, MOD(ROW()-2,8)+1)</f>
        <v>248</v>
      </c>
    </row>
    <row r="431" spans="1:5" x14ac:dyDescent="0.35">
      <c r="A431" s="1" cm="1">
        <f t="array" ref="A431">INDEX(salesmonthly!$A$2:$A$5000, INT((ROW()-2)/8)+1)</f>
        <v>43281</v>
      </c>
      <c r="B431" cm="1">
        <f t="array" ref="B431">INDEX(salesmonthly!$J$2:$J$5000, INT((ROW()-2)/8)+1)</f>
        <v>2018</v>
      </c>
      <c r="C431" cm="1">
        <f t="array" ref="C431">INDEX(salesmonthly!$K$2:$K$5000, INT((ROW()-2)/8)+1)</f>
        <v>6</v>
      </c>
      <c r="D431" t="str" cm="1">
        <f t="array" ref="D431">INDEX(salesmonthly!$B$1:$I$1, MOD(ROW()-2,8)+1)</f>
        <v>N05C</v>
      </c>
      <c r="E431" cm="1">
        <f t="array" ref="E431">INDEX(salesmonthly!$B$2:$I$5000, INT((ROW()-2)/8)+1, MOD(ROW()-2,8)+1)</f>
        <v>18</v>
      </c>
    </row>
    <row r="432" spans="1:5" x14ac:dyDescent="0.35">
      <c r="A432" s="1" cm="1">
        <f t="array" ref="A432">INDEX(salesmonthly!$A$2:$A$5000, INT((ROW()-2)/8)+1)</f>
        <v>43281</v>
      </c>
      <c r="B432" cm="1">
        <f t="array" ref="B432">INDEX(salesmonthly!$J$2:$J$5000, INT((ROW()-2)/8)+1)</f>
        <v>2018</v>
      </c>
      <c r="C432" cm="1">
        <f t="array" ref="C432">INDEX(salesmonthly!$K$2:$K$5000, INT((ROW()-2)/8)+1)</f>
        <v>6</v>
      </c>
      <c r="D432" t="str" cm="1">
        <f t="array" ref="D432">INDEX(salesmonthly!$B$1:$I$1, MOD(ROW()-2,8)+1)</f>
        <v>R03</v>
      </c>
      <c r="E432" cm="1">
        <f t="array" ref="E432">INDEX(salesmonthly!$B$2:$I$5000, INT((ROW()-2)/8)+1, MOD(ROW()-2,8)+1)</f>
        <v>101</v>
      </c>
    </row>
    <row r="433" spans="1:5" x14ac:dyDescent="0.35">
      <c r="A433" s="1" cm="1">
        <f t="array" ref="A433">INDEX(salesmonthly!$A$2:$A$5000, INT((ROW()-2)/8)+1)</f>
        <v>43281</v>
      </c>
      <c r="B433" cm="1">
        <f t="array" ref="B433">INDEX(salesmonthly!$J$2:$J$5000, INT((ROW()-2)/8)+1)</f>
        <v>2018</v>
      </c>
      <c r="C433" cm="1">
        <f t="array" ref="C433">INDEX(salesmonthly!$K$2:$K$5000, INT((ROW()-2)/8)+1)</f>
        <v>6</v>
      </c>
      <c r="D433" t="str" cm="1">
        <f t="array" ref="D433">INDEX(salesmonthly!$B$1:$I$1, MOD(ROW()-2,8)+1)</f>
        <v>R06</v>
      </c>
      <c r="E433" cm="1">
        <f t="array" ref="E433">INDEX(salesmonthly!$B$2:$I$5000, INT((ROW()-2)/8)+1, MOD(ROW()-2,8)+1)</f>
        <v>120.8</v>
      </c>
    </row>
    <row r="434" spans="1:5" x14ac:dyDescent="0.35">
      <c r="A434" s="1" cm="1">
        <f t="array" ref="A434">INDEX(salesmonthly!$A$2:$A$5000, INT((ROW()-2)/8)+1)</f>
        <v>43312</v>
      </c>
      <c r="B434" cm="1">
        <f t="array" ref="B434">INDEX(salesmonthly!$J$2:$J$5000, INT((ROW()-2)/8)+1)</f>
        <v>2018</v>
      </c>
      <c r="C434" cm="1">
        <f t="array" ref="C434">INDEX(salesmonthly!$K$2:$K$5000, INT((ROW()-2)/8)+1)</f>
        <v>7</v>
      </c>
      <c r="D434" t="str" cm="1">
        <f t="array" ref="D434">INDEX(salesmonthly!$B$1:$I$1, MOD(ROW()-2,8)+1)</f>
        <v>M01AB</v>
      </c>
      <c r="E434" cm="1">
        <f t="array" ref="E434">INDEX(salesmonthly!$B$2:$I$5000, INT((ROW()-2)/8)+1, MOD(ROW()-2,8)+1)</f>
        <v>150.18</v>
      </c>
    </row>
    <row r="435" spans="1:5" x14ac:dyDescent="0.35">
      <c r="A435" s="1" cm="1">
        <f t="array" ref="A435">INDEX(salesmonthly!$A$2:$A$5000, INT((ROW()-2)/8)+1)</f>
        <v>43312</v>
      </c>
      <c r="B435" cm="1">
        <f t="array" ref="B435">INDEX(salesmonthly!$J$2:$J$5000, INT((ROW()-2)/8)+1)</f>
        <v>2018</v>
      </c>
      <c r="C435" cm="1">
        <f t="array" ref="C435">INDEX(salesmonthly!$K$2:$K$5000, INT((ROW()-2)/8)+1)</f>
        <v>7</v>
      </c>
      <c r="D435" t="str" cm="1">
        <f t="array" ref="D435">INDEX(salesmonthly!$B$1:$I$1, MOD(ROW()-2,8)+1)</f>
        <v>M01AE</v>
      </c>
      <c r="E435" t="str" cm="1">
        <f t="array" ref="E435">INDEX(salesmonthly!$B$2:$I$5000, INT((ROW()-2)/8)+1, MOD(ROW()-2,8)+1)</f>
        <v>132.54900000000006</v>
      </c>
    </row>
    <row r="436" spans="1:5" x14ac:dyDescent="0.35">
      <c r="A436" s="1" cm="1">
        <f t="array" ref="A436">INDEX(salesmonthly!$A$2:$A$5000, INT((ROW()-2)/8)+1)</f>
        <v>43312</v>
      </c>
      <c r="B436" cm="1">
        <f t="array" ref="B436">INDEX(salesmonthly!$J$2:$J$5000, INT((ROW()-2)/8)+1)</f>
        <v>2018</v>
      </c>
      <c r="C436" cm="1">
        <f t="array" ref="C436">INDEX(salesmonthly!$K$2:$K$5000, INT((ROW()-2)/8)+1)</f>
        <v>7</v>
      </c>
      <c r="D436" t="str" cm="1">
        <f t="array" ref="D436">INDEX(salesmonthly!$B$1:$I$1, MOD(ROW()-2,8)+1)</f>
        <v>N02BA</v>
      </c>
      <c r="E436" cm="1">
        <f t="array" ref="E436">INDEX(salesmonthly!$B$2:$I$5000, INT((ROW()-2)/8)+1, MOD(ROW()-2,8)+1)</f>
        <v>87.2</v>
      </c>
    </row>
    <row r="437" spans="1:5" x14ac:dyDescent="0.35">
      <c r="A437" s="1" cm="1">
        <f t="array" ref="A437">INDEX(salesmonthly!$A$2:$A$5000, INT((ROW()-2)/8)+1)</f>
        <v>43312</v>
      </c>
      <c r="B437" cm="1">
        <f t="array" ref="B437">INDEX(salesmonthly!$J$2:$J$5000, INT((ROW()-2)/8)+1)</f>
        <v>2018</v>
      </c>
      <c r="C437" cm="1">
        <f t="array" ref="C437">INDEX(salesmonthly!$K$2:$K$5000, INT((ROW()-2)/8)+1)</f>
        <v>7</v>
      </c>
      <c r="D437" t="str" cm="1">
        <f t="array" ref="D437">INDEX(salesmonthly!$B$1:$I$1, MOD(ROW()-2,8)+1)</f>
        <v>N02BE</v>
      </c>
      <c r="E437" t="str" cm="1">
        <f t="array" ref="E437">INDEX(salesmonthly!$B$2:$I$5000, INT((ROW()-2)/8)+1, MOD(ROW()-2,8)+1)</f>
        <v>679.3499999999999</v>
      </c>
    </row>
    <row r="438" spans="1:5" x14ac:dyDescent="0.35">
      <c r="A438" s="1" cm="1">
        <f t="array" ref="A438">INDEX(salesmonthly!$A$2:$A$5000, INT((ROW()-2)/8)+1)</f>
        <v>43312</v>
      </c>
      <c r="B438" cm="1">
        <f t="array" ref="B438">INDEX(salesmonthly!$J$2:$J$5000, INT((ROW()-2)/8)+1)</f>
        <v>2018</v>
      </c>
      <c r="C438" cm="1">
        <f t="array" ref="C438">INDEX(salesmonthly!$K$2:$K$5000, INT((ROW()-2)/8)+1)</f>
        <v>7</v>
      </c>
      <c r="D438" t="str" cm="1">
        <f t="array" ref="D438">INDEX(salesmonthly!$B$1:$I$1, MOD(ROW()-2,8)+1)</f>
        <v>N05B</v>
      </c>
      <c r="E438" cm="1">
        <f t="array" ref="E438">INDEX(salesmonthly!$B$2:$I$5000, INT((ROW()-2)/8)+1, MOD(ROW()-2,8)+1)</f>
        <v>283</v>
      </c>
    </row>
    <row r="439" spans="1:5" x14ac:dyDescent="0.35">
      <c r="A439" s="1" cm="1">
        <f t="array" ref="A439">INDEX(salesmonthly!$A$2:$A$5000, INT((ROW()-2)/8)+1)</f>
        <v>43312</v>
      </c>
      <c r="B439" cm="1">
        <f t="array" ref="B439">INDEX(salesmonthly!$J$2:$J$5000, INT((ROW()-2)/8)+1)</f>
        <v>2018</v>
      </c>
      <c r="C439" cm="1">
        <f t="array" ref="C439">INDEX(salesmonthly!$K$2:$K$5000, INT((ROW()-2)/8)+1)</f>
        <v>7</v>
      </c>
      <c r="D439" t="str" cm="1">
        <f t="array" ref="D439">INDEX(salesmonthly!$B$1:$I$1, MOD(ROW()-2,8)+1)</f>
        <v>N05C</v>
      </c>
      <c r="E439" cm="1">
        <f t="array" ref="E439">INDEX(salesmonthly!$B$2:$I$5000, INT((ROW()-2)/8)+1, MOD(ROW()-2,8)+1)</f>
        <v>19</v>
      </c>
    </row>
    <row r="440" spans="1:5" x14ac:dyDescent="0.35">
      <c r="A440" s="1" cm="1">
        <f t="array" ref="A440">INDEX(salesmonthly!$A$2:$A$5000, INT((ROW()-2)/8)+1)</f>
        <v>43312</v>
      </c>
      <c r="B440" cm="1">
        <f t="array" ref="B440">INDEX(salesmonthly!$J$2:$J$5000, INT((ROW()-2)/8)+1)</f>
        <v>2018</v>
      </c>
      <c r="C440" cm="1">
        <f t="array" ref="C440">INDEX(salesmonthly!$K$2:$K$5000, INT((ROW()-2)/8)+1)</f>
        <v>7</v>
      </c>
      <c r="D440" t="str" cm="1">
        <f t="array" ref="D440">INDEX(salesmonthly!$B$1:$I$1, MOD(ROW()-2,8)+1)</f>
        <v>R03</v>
      </c>
      <c r="E440" cm="1">
        <f t="array" ref="E440">INDEX(salesmonthly!$B$2:$I$5000, INT((ROW()-2)/8)+1, MOD(ROW()-2,8)+1)</f>
        <v>90</v>
      </c>
    </row>
    <row r="441" spans="1:5" x14ac:dyDescent="0.35">
      <c r="A441" s="1" cm="1">
        <f t="array" ref="A441">INDEX(salesmonthly!$A$2:$A$5000, INT((ROW()-2)/8)+1)</f>
        <v>43312</v>
      </c>
      <c r="B441" cm="1">
        <f t="array" ref="B441">INDEX(salesmonthly!$J$2:$J$5000, INT((ROW()-2)/8)+1)</f>
        <v>2018</v>
      </c>
      <c r="C441" cm="1">
        <f t="array" ref="C441">INDEX(salesmonthly!$K$2:$K$5000, INT((ROW()-2)/8)+1)</f>
        <v>7</v>
      </c>
      <c r="D441" t="str" cm="1">
        <f t="array" ref="D441">INDEX(salesmonthly!$B$1:$I$1, MOD(ROW()-2,8)+1)</f>
        <v>R06</v>
      </c>
      <c r="E441" cm="1">
        <f t="array" ref="E441">INDEX(salesmonthly!$B$2:$I$5000, INT((ROW()-2)/8)+1, MOD(ROW()-2,8)+1)</f>
        <v>122.2</v>
      </c>
    </row>
    <row r="442" spans="1:5" x14ac:dyDescent="0.35">
      <c r="A442" s="1" cm="1">
        <f t="array" ref="A442">INDEX(salesmonthly!$A$2:$A$5000, INT((ROW()-2)/8)+1)</f>
        <v>43343</v>
      </c>
      <c r="B442" cm="1">
        <f t="array" ref="B442">INDEX(salesmonthly!$J$2:$J$5000, INT((ROW()-2)/8)+1)</f>
        <v>2018</v>
      </c>
      <c r="C442" cm="1">
        <f t="array" ref="C442">INDEX(salesmonthly!$K$2:$K$5000, INT((ROW()-2)/8)+1)</f>
        <v>8</v>
      </c>
      <c r="D442" t="str" cm="1">
        <f t="array" ref="D442">INDEX(salesmonthly!$B$1:$I$1, MOD(ROW()-2,8)+1)</f>
        <v>M01AB</v>
      </c>
      <c r="E442" t="str" cm="1">
        <f t="array" ref="E442">INDEX(salesmonthly!$B$2:$I$5000, INT((ROW()-2)/8)+1, MOD(ROW()-2,8)+1)</f>
        <v>140.00000000000003</v>
      </c>
    </row>
    <row r="443" spans="1:5" x14ac:dyDescent="0.35">
      <c r="A443" s="1" cm="1">
        <f t="array" ref="A443">INDEX(salesmonthly!$A$2:$A$5000, INT((ROW()-2)/8)+1)</f>
        <v>43343</v>
      </c>
      <c r="B443" cm="1">
        <f t="array" ref="B443">INDEX(salesmonthly!$J$2:$J$5000, INT((ROW()-2)/8)+1)</f>
        <v>2018</v>
      </c>
      <c r="C443" cm="1">
        <f t="array" ref="C443">INDEX(salesmonthly!$K$2:$K$5000, INT((ROW()-2)/8)+1)</f>
        <v>8</v>
      </c>
      <c r="D443" t="str" cm="1">
        <f t="array" ref="D443">INDEX(salesmonthly!$B$1:$I$1, MOD(ROW()-2,8)+1)</f>
        <v>M01AE</v>
      </c>
      <c r="E443" t="str" cm="1">
        <f t="array" ref="E443">INDEX(salesmonthly!$B$2:$I$5000, INT((ROW()-2)/8)+1, MOD(ROW()-2,8)+1)</f>
        <v>114.71900000000005</v>
      </c>
    </row>
    <row r="444" spans="1:5" x14ac:dyDescent="0.35">
      <c r="A444" s="1" cm="1">
        <f t="array" ref="A444">INDEX(salesmonthly!$A$2:$A$5000, INT((ROW()-2)/8)+1)</f>
        <v>43343</v>
      </c>
      <c r="B444" cm="1">
        <f t="array" ref="B444">INDEX(salesmonthly!$J$2:$J$5000, INT((ROW()-2)/8)+1)</f>
        <v>2018</v>
      </c>
      <c r="C444" cm="1">
        <f t="array" ref="C444">INDEX(salesmonthly!$K$2:$K$5000, INT((ROW()-2)/8)+1)</f>
        <v>8</v>
      </c>
      <c r="D444" t="str" cm="1">
        <f t="array" ref="D444">INDEX(salesmonthly!$B$1:$I$1, MOD(ROW()-2,8)+1)</f>
        <v>N02BA</v>
      </c>
      <c r="E444" cm="1">
        <f t="array" ref="E444">INDEX(salesmonthly!$B$2:$I$5000, INT((ROW()-2)/8)+1, MOD(ROW()-2,8)+1)</f>
        <v>88.25</v>
      </c>
    </row>
    <row r="445" spans="1:5" x14ac:dyDescent="0.35">
      <c r="A445" s="1" cm="1">
        <f t="array" ref="A445">INDEX(salesmonthly!$A$2:$A$5000, INT((ROW()-2)/8)+1)</f>
        <v>43343</v>
      </c>
      <c r="B445" cm="1">
        <f t="array" ref="B445">INDEX(salesmonthly!$J$2:$J$5000, INT((ROW()-2)/8)+1)</f>
        <v>2018</v>
      </c>
      <c r="C445" cm="1">
        <f t="array" ref="C445">INDEX(salesmonthly!$K$2:$K$5000, INT((ROW()-2)/8)+1)</f>
        <v>8</v>
      </c>
      <c r="D445" t="str" cm="1">
        <f t="array" ref="D445">INDEX(salesmonthly!$B$1:$I$1, MOD(ROW()-2,8)+1)</f>
        <v>N02BE</v>
      </c>
      <c r="E445" cm="1">
        <f t="array" ref="E445">INDEX(salesmonthly!$B$2:$I$5000, INT((ROW()-2)/8)+1, MOD(ROW()-2,8)+1)</f>
        <v>733.83799999999997</v>
      </c>
    </row>
    <row r="446" spans="1:5" x14ac:dyDescent="0.35">
      <c r="A446" s="1" cm="1">
        <f t="array" ref="A446">INDEX(salesmonthly!$A$2:$A$5000, INT((ROW()-2)/8)+1)</f>
        <v>43343</v>
      </c>
      <c r="B446" cm="1">
        <f t="array" ref="B446">INDEX(salesmonthly!$J$2:$J$5000, INT((ROW()-2)/8)+1)</f>
        <v>2018</v>
      </c>
      <c r="C446" cm="1">
        <f t="array" ref="C446">INDEX(salesmonthly!$K$2:$K$5000, INT((ROW()-2)/8)+1)</f>
        <v>8</v>
      </c>
      <c r="D446" t="str" cm="1">
        <f t="array" ref="D446">INDEX(salesmonthly!$B$1:$I$1, MOD(ROW()-2,8)+1)</f>
        <v>N05B</v>
      </c>
      <c r="E446" cm="1">
        <f t="array" ref="E446">INDEX(salesmonthly!$B$2:$I$5000, INT((ROW()-2)/8)+1, MOD(ROW()-2,8)+1)</f>
        <v>253</v>
      </c>
    </row>
    <row r="447" spans="1:5" x14ac:dyDescent="0.35">
      <c r="A447" s="1" cm="1">
        <f t="array" ref="A447">INDEX(salesmonthly!$A$2:$A$5000, INT((ROW()-2)/8)+1)</f>
        <v>43343</v>
      </c>
      <c r="B447" cm="1">
        <f t="array" ref="B447">INDEX(salesmonthly!$J$2:$J$5000, INT((ROW()-2)/8)+1)</f>
        <v>2018</v>
      </c>
      <c r="C447" cm="1">
        <f t="array" ref="C447">INDEX(salesmonthly!$K$2:$K$5000, INT((ROW()-2)/8)+1)</f>
        <v>8</v>
      </c>
      <c r="D447" t="str" cm="1">
        <f t="array" ref="D447">INDEX(salesmonthly!$B$1:$I$1, MOD(ROW()-2,8)+1)</f>
        <v>N05C</v>
      </c>
      <c r="E447" cm="1">
        <f t="array" ref="E447">INDEX(salesmonthly!$B$2:$I$5000, INT((ROW()-2)/8)+1, MOD(ROW()-2,8)+1)</f>
        <v>20</v>
      </c>
    </row>
    <row r="448" spans="1:5" x14ac:dyDescent="0.35">
      <c r="A448" s="1" cm="1">
        <f t="array" ref="A448">INDEX(salesmonthly!$A$2:$A$5000, INT((ROW()-2)/8)+1)</f>
        <v>43343</v>
      </c>
      <c r="B448" cm="1">
        <f t="array" ref="B448">INDEX(salesmonthly!$J$2:$J$5000, INT((ROW()-2)/8)+1)</f>
        <v>2018</v>
      </c>
      <c r="C448" cm="1">
        <f t="array" ref="C448">INDEX(salesmonthly!$K$2:$K$5000, INT((ROW()-2)/8)+1)</f>
        <v>8</v>
      </c>
      <c r="D448" t="str" cm="1">
        <f t="array" ref="D448">INDEX(salesmonthly!$B$1:$I$1, MOD(ROW()-2,8)+1)</f>
        <v>R03</v>
      </c>
      <c r="E448" cm="1">
        <f t="array" ref="E448">INDEX(salesmonthly!$B$2:$I$5000, INT((ROW()-2)/8)+1, MOD(ROW()-2,8)+1)</f>
        <v>159</v>
      </c>
    </row>
    <row r="449" spans="1:5" x14ac:dyDescent="0.35">
      <c r="A449" s="1" cm="1">
        <f t="array" ref="A449">INDEX(salesmonthly!$A$2:$A$5000, INT((ROW()-2)/8)+1)</f>
        <v>43343</v>
      </c>
      <c r="B449" cm="1">
        <f t="array" ref="B449">INDEX(salesmonthly!$J$2:$J$5000, INT((ROW()-2)/8)+1)</f>
        <v>2018</v>
      </c>
      <c r="C449" cm="1">
        <f t="array" ref="C449">INDEX(salesmonthly!$K$2:$K$5000, INT((ROW()-2)/8)+1)</f>
        <v>8</v>
      </c>
      <c r="D449" t="str" cm="1">
        <f t="array" ref="D449">INDEX(salesmonthly!$B$1:$I$1, MOD(ROW()-2,8)+1)</f>
        <v>R06</v>
      </c>
      <c r="E449" cm="1">
        <f t="array" ref="E449">INDEX(salesmonthly!$B$2:$I$5000, INT((ROW()-2)/8)+1, MOD(ROW()-2,8)+1)</f>
        <v>103.1</v>
      </c>
    </row>
    <row r="450" spans="1:5" x14ac:dyDescent="0.35">
      <c r="A450" s="1" cm="1">
        <f t="array" ref="A450">INDEX(salesmonthly!$A$2:$A$5000, INT((ROW()-2)/8)+1)</f>
        <v>43373</v>
      </c>
      <c r="B450" cm="1">
        <f t="array" ref="B450">INDEX(salesmonthly!$J$2:$J$5000, INT((ROW()-2)/8)+1)</f>
        <v>2018</v>
      </c>
      <c r="C450" cm="1">
        <f t="array" ref="C450">INDEX(salesmonthly!$K$2:$K$5000, INT((ROW()-2)/8)+1)</f>
        <v>9</v>
      </c>
      <c r="D450" t="str" cm="1">
        <f t="array" ref="D450">INDEX(salesmonthly!$B$1:$I$1, MOD(ROW()-2,8)+1)</f>
        <v>M01AB</v>
      </c>
      <c r="E450" cm="1">
        <f t="array" ref="E450">INDEX(salesmonthly!$B$2:$I$5000, INT((ROW()-2)/8)+1, MOD(ROW()-2,8)+1)</f>
        <v>153.52000000000001</v>
      </c>
    </row>
    <row r="451" spans="1:5" x14ac:dyDescent="0.35">
      <c r="A451" s="1" cm="1">
        <f t="array" ref="A451">INDEX(salesmonthly!$A$2:$A$5000, INT((ROW()-2)/8)+1)</f>
        <v>43373</v>
      </c>
      <c r="B451" cm="1">
        <f t="array" ref="B451">INDEX(salesmonthly!$J$2:$J$5000, INT((ROW()-2)/8)+1)</f>
        <v>2018</v>
      </c>
      <c r="C451" cm="1">
        <f t="array" ref="C451">INDEX(salesmonthly!$K$2:$K$5000, INT((ROW()-2)/8)+1)</f>
        <v>9</v>
      </c>
      <c r="D451" t="str" cm="1">
        <f t="array" ref="D451">INDEX(salesmonthly!$B$1:$I$1, MOD(ROW()-2,8)+1)</f>
        <v>M01AE</v>
      </c>
      <c r="E451" t="str" cm="1">
        <f t="array" ref="E451">INDEX(salesmonthly!$B$2:$I$5000, INT((ROW()-2)/8)+1, MOD(ROW()-2,8)+1)</f>
        <v>114.99200000000008</v>
      </c>
    </row>
    <row r="452" spans="1:5" x14ac:dyDescent="0.35">
      <c r="A452" s="1" cm="1">
        <f t="array" ref="A452">INDEX(salesmonthly!$A$2:$A$5000, INT((ROW()-2)/8)+1)</f>
        <v>43373</v>
      </c>
      <c r="B452" cm="1">
        <f t="array" ref="B452">INDEX(salesmonthly!$J$2:$J$5000, INT((ROW()-2)/8)+1)</f>
        <v>2018</v>
      </c>
      <c r="C452" cm="1">
        <f t="array" ref="C452">INDEX(salesmonthly!$K$2:$K$5000, INT((ROW()-2)/8)+1)</f>
        <v>9</v>
      </c>
      <c r="D452" t="str" cm="1">
        <f t="array" ref="D452">INDEX(salesmonthly!$B$1:$I$1, MOD(ROW()-2,8)+1)</f>
        <v>N02BA</v>
      </c>
      <c r="E452" cm="1">
        <f t="array" ref="E452">INDEX(salesmonthly!$B$2:$I$5000, INT((ROW()-2)/8)+1, MOD(ROW()-2,8)+1)</f>
        <v>86.5</v>
      </c>
    </row>
    <row r="453" spans="1:5" x14ac:dyDescent="0.35">
      <c r="A453" s="1" cm="1">
        <f t="array" ref="A453">INDEX(salesmonthly!$A$2:$A$5000, INT((ROW()-2)/8)+1)</f>
        <v>43373</v>
      </c>
      <c r="B453" cm="1">
        <f t="array" ref="B453">INDEX(salesmonthly!$J$2:$J$5000, INT((ROW()-2)/8)+1)</f>
        <v>2018</v>
      </c>
      <c r="C453" cm="1">
        <f t="array" ref="C453">INDEX(salesmonthly!$K$2:$K$5000, INT((ROW()-2)/8)+1)</f>
        <v>9</v>
      </c>
      <c r="D453" t="str" cm="1">
        <f t="array" ref="D453">INDEX(salesmonthly!$B$1:$I$1, MOD(ROW()-2,8)+1)</f>
        <v>N02BE</v>
      </c>
      <c r="E453" t="str" cm="1">
        <f t="array" ref="E453">INDEX(salesmonthly!$B$2:$I$5000, INT((ROW()-2)/8)+1, MOD(ROW()-2,8)+1)</f>
        <v>1058.2620000000002</v>
      </c>
    </row>
    <row r="454" spans="1:5" x14ac:dyDescent="0.35">
      <c r="A454" s="1" cm="1">
        <f t="array" ref="A454">INDEX(salesmonthly!$A$2:$A$5000, INT((ROW()-2)/8)+1)</f>
        <v>43373</v>
      </c>
      <c r="B454" cm="1">
        <f t="array" ref="B454">INDEX(salesmonthly!$J$2:$J$5000, INT((ROW()-2)/8)+1)</f>
        <v>2018</v>
      </c>
      <c r="C454" cm="1">
        <f t="array" ref="C454">INDEX(salesmonthly!$K$2:$K$5000, INT((ROW()-2)/8)+1)</f>
        <v>9</v>
      </c>
      <c r="D454" t="str" cm="1">
        <f t="array" ref="D454">INDEX(salesmonthly!$B$1:$I$1, MOD(ROW()-2,8)+1)</f>
        <v>N05B</v>
      </c>
      <c r="E454" cm="1">
        <f t="array" ref="E454">INDEX(salesmonthly!$B$2:$I$5000, INT((ROW()-2)/8)+1, MOD(ROW()-2,8)+1)</f>
        <v>263</v>
      </c>
    </row>
    <row r="455" spans="1:5" x14ac:dyDescent="0.35">
      <c r="A455" s="1" cm="1">
        <f t="array" ref="A455">INDEX(salesmonthly!$A$2:$A$5000, INT((ROW()-2)/8)+1)</f>
        <v>43373</v>
      </c>
      <c r="B455" cm="1">
        <f t="array" ref="B455">INDEX(salesmonthly!$J$2:$J$5000, INT((ROW()-2)/8)+1)</f>
        <v>2018</v>
      </c>
      <c r="C455" cm="1">
        <f t="array" ref="C455">INDEX(salesmonthly!$K$2:$K$5000, INT((ROW()-2)/8)+1)</f>
        <v>9</v>
      </c>
      <c r="D455" t="str" cm="1">
        <f t="array" ref="D455">INDEX(salesmonthly!$B$1:$I$1, MOD(ROW()-2,8)+1)</f>
        <v>N05C</v>
      </c>
      <c r="E455" cm="1">
        <f t="array" ref="E455">INDEX(salesmonthly!$B$2:$I$5000, INT((ROW()-2)/8)+1, MOD(ROW()-2,8)+1)</f>
        <v>12</v>
      </c>
    </row>
    <row r="456" spans="1:5" x14ac:dyDescent="0.35">
      <c r="A456" s="1" cm="1">
        <f t="array" ref="A456">INDEX(salesmonthly!$A$2:$A$5000, INT((ROW()-2)/8)+1)</f>
        <v>43373</v>
      </c>
      <c r="B456" cm="1">
        <f t="array" ref="B456">INDEX(salesmonthly!$J$2:$J$5000, INT((ROW()-2)/8)+1)</f>
        <v>2018</v>
      </c>
      <c r="C456" cm="1">
        <f t="array" ref="C456">INDEX(salesmonthly!$K$2:$K$5000, INT((ROW()-2)/8)+1)</f>
        <v>9</v>
      </c>
      <c r="D456" t="str" cm="1">
        <f t="array" ref="D456">INDEX(salesmonthly!$B$1:$I$1, MOD(ROW()-2,8)+1)</f>
        <v>R03</v>
      </c>
      <c r="E456" cm="1">
        <f t="array" ref="E456">INDEX(salesmonthly!$B$2:$I$5000, INT((ROW()-2)/8)+1, MOD(ROW()-2,8)+1)</f>
        <v>205</v>
      </c>
    </row>
    <row r="457" spans="1:5" x14ac:dyDescent="0.35">
      <c r="A457" s="1" cm="1">
        <f t="array" ref="A457">INDEX(salesmonthly!$A$2:$A$5000, INT((ROW()-2)/8)+1)</f>
        <v>43373</v>
      </c>
      <c r="B457" cm="1">
        <f t="array" ref="B457">INDEX(salesmonthly!$J$2:$J$5000, INT((ROW()-2)/8)+1)</f>
        <v>2018</v>
      </c>
      <c r="C457" cm="1">
        <f t="array" ref="C457">INDEX(salesmonthly!$K$2:$K$5000, INT((ROW()-2)/8)+1)</f>
        <v>9</v>
      </c>
      <c r="D457" t="str" cm="1">
        <f t="array" ref="D457">INDEX(salesmonthly!$B$1:$I$1, MOD(ROW()-2,8)+1)</f>
        <v>R06</v>
      </c>
      <c r="E457" t="str" cm="1">
        <f t="array" ref="E457">INDEX(salesmonthly!$B$2:$I$5000, INT((ROW()-2)/8)+1, MOD(ROW()-2,8)+1)</f>
        <v>88.10000000000001</v>
      </c>
    </row>
    <row r="458" spans="1:5" x14ac:dyDescent="0.35">
      <c r="A458" s="1" cm="1">
        <f t="array" ref="A458">INDEX(salesmonthly!$A$2:$A$5000, INT((ROW()-2)/8)+1)</f>
        <v>43404</v>
      </c>
      <c r="B458" cm="1">
        <f t="array" ref="B458">INDEX(salesmonthly!$J$2:$J$5000, INT((ROW()-2)/8)+1)</f>
        <v>2018</v>
      </c>
      <c r="C458" cm="1">
        <f t="array" ref="C458">INDEX(salesmonthly!$K$2:$K$5000, INT((ROW()-2)/8)+1)</f>
        <v>10</v>
      </c>
      <c r="D458" t="str" cm="1">
        <f t="array" ref="D458">INDEX(salesmonthly!$B$1:$I$1, MOD(ROW()-2,8)+1)</f>
        <v>M01AB</v>
      </c>
      <c r="E458" t="str" cm="1">
        <f t="array" ref="E458">INDEX(salesmonthly!$B$2:$I$5000, INT((ROW()-2)/8)+1, MOD(ROW()-2,8)+1)</f>
        <v>144.71000000000004</v>
      </c>
    </row>
    <row r="459" spans="1:5" x14ac:dyDescent="0.35">
      <c r="A459" s="1" cm="1">
        <f t="array" ref="A459">INDEX(salesmonthly!$A$2:$A$5000, INT((ROW()-2)/8)+1)</f>
        <v>43404</v>
      </c>
      <c r="B459" cm="1">
        <f t="array" ref="B459">INDEX(salesmonthly!$J$2:$J$5000, INT((ROW()-2)/8)+1)</f>
        <v>2018</v>
      </c>
      <c r="C459" cm="1">
        <f t="array" ref="C459">INDEX(salesmonthly!$K$2:$K$5000, INT((ROW()-2)/8)+1)</f>
        <v>10</v>
      </c>
      <c r="D459" t="str" cm="1">
        <f t="array" ref="D459">INDEX(salesmonthly!$B$1:$I$1, MOD(ROW()-2,8)+1)</f>
        <v>M01AE</v>
      </c>
      <c r="E459" t="str" cm="1">
        <f t="array" ref="E459">INDEX(salesmonthly!$B$2:$I$5000, INT((ROW()-2)/8)+1, MOD(ROW()-2,8)+1)</f>
        <v>129.4000000000001</v>
      </c>
    </row>
    <row r="460" spans="1:5" x14ac:dyDescent="0.35">
      <c r="A460" s="1" cm="1">
        <f t="array" ref="A460">INDEX(salesmonthly!$A$2:$A$5000, INT((ROW()-2)/8)+1)</f>
        <v>43404</v>
      </c>
      <c r="B460" cm="1">
        <f t="array" ref="B460">INDEX(salesmonthly!$J$2:$J$5000, INT((ROW()-2)/8)+1)</f>
        <v>2018</v>
      </c>
      <c r="C460" cm="1">
        <f t="array" ref="C460">INDEX(salesmonthly!$K$2:$K$5000, INT((ROW()-2)/8)+1)</f>
        <v>10</v>
      </c>
      <c r="D460" t="str" cm="1">
        <f t="array" ref="D460">INDEX(salesmonthly!$B$1:$I$1, MOD(ROW()-2,8)+1)</f>
        <v>N02BA</v>
      </c>
      <c r="E460" t="str" cm="1">
        <f t="array" ref="E460">INDEX(salesmonthly!$B$2:$I$5000, INT((ROW()-2)/8)+1, MOD(ROW()-2,8)+1)</f>
        <v>76.05000000000001</v>
      </c>
    </row>
    <row r="461" spans="1:5" x14ac:dyDescent="0.35">
      <c r="A461" s="1" cm="1">
        <f t="array" ref="A461">INDEX(salesmonthly!$A$2:$A$5000, INT((ROW()-2)/8)+1)</f>
        <v>43404</v>
      </c>
      <c r="B461" cm="1">
        <f t="array" ref="B461">INDEX(salesmonthly!$J$2:$J$5000, INT((ROW()-2)/8)+1)</f>
        <v>2018</v>
      </c>
      <c r="C461" cm="1">
        <f t="array" ref="C461">INDEX(salesmonthly!$K$2:$K$5000, INT((ROW()-2)/8)+1)</f>
        <v>10</v>
      </c>
      <c r="D461" t="str" cm="1">
        <f t="array" ref="D461">INDEX(salesmonthly!$B$1:$I$1, MOD(ROW()-2,8)+1)</f>
        <v>N02BE</v>
      </c>
      <c r="E461" t="str" cm="1">
        <f t="array" ref="E461">INDEX(salesmonthly!$B$2:$I$5000, INT((ROW()-2)/8)+1, MOD(ROW()-2,8)+1)</f>
        <v>1129.2749999999999</v>
      </c>
    </row>
    <row r="462" spans="1:5" x14ac:dyDescent="0.35">
      <c r="A462" s="1" cm="1">
        <f t="array" ref="A462">INDEX(salesmonthly!$A$2:$A$5000, INT((ROW()-2)/8)+1)</f>
        <v>43404</v>
      </c>
      <c r="B462" cm="1">
        <f t="array" ref="B462">INDEX(salesmonthly!$J$2:$J$5000, INT((ROW()-2)/8)+1)</f>
        <v>2018</v>
      </c>
      <c r="C462" cm="1">
        <f t="array" ref="C462">INDEX(salesmonthly!$K$2:$K$5000, INT((ROW()-2)/8)+1)</f>
        <v>10</v>
      </c>
      <c r="D462" t="str" cm="1">
        <f t="array" ref="D462">INDEX(salesmonthly!$B$1:$I$1, MOD(ROW()-2,8)+1)</f>
        <v>N05B</v>
      </c>
      <c r="E462" cm="1">
        <f t="array" ref="E462">INDEX(salesmonthly!$B$2:$I$5000, INT((ROW()-2)/8)+1, MOD(ROW()-2,8)+1)</f>
        <v>287</v>
      </c>
    </row>
    <row r="463" spans="1:5" x14ac:dyDescent="0.35">
      <c r="A463" s="1" cm="1">
        <f t="array" ref="A463">INDEX(salesmonthly!$A$2:$A$5000, INT((ROW()-2)/8)+1)</f>
        <v>43404</v>
      </c>
      <c r="B463" cm="1">
        <f t="array" ref="B463">INDEX(salesmonthly!$J$2:$J$5000, INT((ROW()-2)/8)+1)</f>
        <v>2018</v>
      </c>
      <c r="C463" cm="1">
        <f t="array" ref="C463">INDEX(salesmonthly!$K$2:$K$5000, INT((ROW()-2)/8)+1)</f>
        <v>10</v>
      </c>
      <c r="D463" t="str" cm="1">
        <f t="array" ref="D463">INDEX(salesmonthly!$B$1:$I$1, MOD(ROW()-2,8)+1)</f>
        <v>N05C</v>
      </c>
      <c r="E463" cm="1">
        <f t="array" ref="E463">INDEX(salesmonthly!$B$2:$I$5000, INT((ROW()-2)/8)+1, MOD(ROW()-2,8)+1)</f>
        <v>25</v>
      </c>
    </row>
    <row r="464" spans="1:5" x14ac:dyDescent="0.35">
      <c r="A464" s="1" cm="1">
        <f t="array" ref="A464">INDEX(salesmonthly!$A$2:$A$5000, INT((ROW()-2)/8)+1)</f>
        <v>43404</v>
      </c>
      <c r="B464" cm="1">
        <f t="array" ref="B464">INDEX(salesmonthly!$J$2:$J$5000, INT((ROW()-2)/8)+1)</f>
        <v>2018</v>
      </c>
      <c r="C464" cm="1">
        <f t="array" ref="C464">INDEX(salesmonthly!$K$2:$K$5000, INT((ROW()-2)/8)+1)</f>
        <v>10</v>
      </c>
      <c r="D464" t="str" cm="1">
        <f t="array" ref="D464">INDEX(salesmonthly!$B$1:$I$1, MOD(ROW()-2,8)+1)</f>
        <v>R03</v>
      </c>
      <c r="E464" cm="1">
        <f t="array" ref="E464">INDEX(salesmonthly!$B$2:$I$5000, INT((ROW()-2)/8)+1, MOD(ROW()-2,8)+1)</f>
        <v>353</v>
      </c>
    </row>
    <row r="465" spans="1:5" x14ac:dyDescent="0.35">
      <c r="A465" s="1" cm="1">
        <f t="array" ref="A465">INDEX(salesmonthly!$A$2:$A$5000, INT((ROW()-2)/8)+1)</f>
        <v>43404</v>
      </c>
      <c r="B465" cm="1">
        <f t="array" ref="B465">INDEX(salesmonthly!$J$2:$J$5000, INT((ROW()-2)/8)+1)</f>
        <v>2018</v>
      </c>
      <c r="C465" cm="1">
        <f t="array" ref="C465">INDEX(salesmonthly!$K$2:$K$5000, INT((ROW()-2)/8)+1)</f>
        <v>10</v>
      </c>
      <c r="D465" t="str" cm="1">
        <f t="array" ref="D465">INDEX(salesmonthly!$B$1:$I$1, MOD(ROW()-2,8)+1)</f>
        <v>R06</v>
      </c>
      <c r="E465" cm="1">
        <f t="array" ref="E465">INDEX(salesmonthly!$B$2:$I$5000, INT((ROW()-2)/8)+1, MOD(ROW()-2,8)+1)</f>
        <v>76.900000000000006</v>
      </c>
    </row>
    <row r="466" spans="1:5" x14ac:dyDescent="0.35">
      <c r="A466" s="1" cm="1">
        <f t="array" ref="A466">INDEX(salesmonthly!$A$2:$A$5000, INT((ROW()-2)/8)+1)</f>
        <v>43434</v>
      </c>
      <c r="B466" cm="1">
        <f t="array" ref="B466">INDEX(salesmonthly!$J$2:$J$5000, INT((ROW()-2)/8)+1)</f>
        <v>2018</v>
      </c>
      <c r="C466" cm="1">
        <f t="array" ref="C466">INDEX(salesmonthly!$K$2:$K$5000, INT((ROW()-2)/8)+1)</f>
        <v>11</v>
      </c>
      <c r="D466" t="str" cm="1">
        <f t="array" ref="D466">INDEX(salesmonthly!$B$1:$I$1, MOD(ROW()-2,8)+1)</f>
        <v>M01AB</v>
      </c>
      <c r="E466" t="str" cm="1">
        <f t="array" ref="E466">INDEX(salesmonthly!$B$2:$I$5000, INT((ROW()-2)/8)+1, MOD(ROW()-2,8)+1)</f>
        <v>172.29000000000005</v>
      </c>
    </row>
    <row r="467" spans="1:5" x14ac:dyDescent="0.35">
      <c r="A467" s="1" cm="1">
        <f t="array" ref="A467">INDEX(salesmonthly!$A$2:$A$5000, INT((ROW()-2)/8)+1)</f>
        <v>43434</v>
      </c>
      <c r="B467" cm="1">
        <f t="array" ref="B467">INDEX(salesmonthly!$J$2:$J$5000, INT((ROW()-2)/8)+1)</f>
        <v>2018</v>
      </c>
      <c r="C467" cm="1">
        <f t="array" ref="C467">INDEX(salesmonthly!$K$2:$K$5000, INT((ROW()-2)/8)+1)</f>
        <v>11</v>
      </c>
      <c r="D467" t="str" cm="1">
        <f t="array" ref="D467">INDEX(salesmonthly!$B$1:$I$1, MOD(ROW()-2,8)+1)</f>
        <v>M01AE</v>
      </c>
      <c r="E467" t="str" cm="1">
        <f t="array" ref="E467">INDEX(salesmonthly!$B$2:$I$5000, INT((ROW()-2)/8)+1, MOD(ROW()-2,8)+1)</f>
        <v>105.48700000000004</v>
      </c>
    </row>
    <row r="468" spans="1:5" x14ac:dyDescent="0.35">
      <c r="A468" s="1" cm="1">
        <f t="array" ref="A468">INDEX(salesmonthly!$A$2:$A$5000, INT((ROW()-2)/8)+1)</f>
        <v>43434</v>
      </c>
      <c r="B468" cm="1">
        <f t="array" ref="B468">INDEX(salesmonthly!$J$2:$J$5000, INT((ROW()-2)/8)+1)</f>
        <v>2018</v>
      </c>
      <c r="C468" cm="1">
        <f t="array" ref="C468">INDEX(salesmonthly!$K$2:$K$5000, INT((ROW()-2)/8)+1)</f>
        <v>11</v>
      </c>
      <c r="D468" t="str" cm="1">
        <f t="array" ref="D468">INDEX(salesmonthly!$B$1:$I$1, MOD(ROW()-2,8)+1)</f>
        <v>N02BA</v>
      </c>
      <c r="E468" t="str" cm="1">
        <f t="array" ref="E468">INDEX(salesmonthly!$B$2:$I$5000, INT((ROW()-2)/8)+1, MOD(ROW()-2,8)+1)</f>
        <v>102.14999999999999</v>
      </c>
    </row>
    <row r="469" spans="1:5" x14ac:dyDescent="0.35">
      <c r="A469" s="1" cm="1">
        <f t="array" ref="A469">INDEX(salesmonthly!$A$2:$A$5000, INT((ROW()-2)/8)+1)</f>
        <v>43434</v>
      </c>
      <c r="B469" cm="1">
        <f t="array" ref="B469">INDEX(salesmonthly!$J$2:$J$5000, INT((ROW()-2)/8)+1)</f>
        <v>2018</v>
      </c>
      <c r="C469" cm="1">
        <f t="array" ref="C469">INDEX(salesmonthly!$K$2:$K$5000, INT((ROW()-2)/8)+1)</f>
        <v>11</v>
      </c>
      <c r="D469" t="str" cm="1">
        <f t="array" ref="D469">INDEX(salesmonthly!$B$1:$I$1, MOD(ROW()-2,8)+1)</f>
        <v>N02BE</v>
      </c>
      <c r="E469" cm="1">
        <f t="array" ref="E469">INDEX(salesmonthly!$B$2:$I$5000, INT((ROW()-2)/8)+1, MOD(ROW()-2,8)+1)</f>
        <v>995.15</v>
      </c>
    </row>
    <row r="470" spans="1:5" x14ac:dyDescent="0.35">
      <c r="A470" s="1" cm="1">
        <f t="array" ref="A470">INDEX(salesmonthly!$A$2:$A$5000, INT((ROW()-2)/8)+1)</f>
        <v>43434</v>
      </c>
      <c r="B470" cm="1">
        <f t="array" ref="B470">INDEX(salesmonthly!$J$2:$J$5000, INT((ROW()-2)/8)+1)</f>
        <v>2018</v>
      </c>
      <c r="C470" cm="1">
        <f t="array" ref="C470">INDEX(salesmonthly!$K$2:$K$5000, INT((ROW()-2)/8)+1)</f>
        <v>11</v>
      </c>
      <c r="D470" t="str" cm="1">
        <f t="array" ref="D470">INDEX(salesmonthly!$B$1:$I$1, MOD(ROW()-2,8)+1)</f>
        <v>N05B</v>
      </c>
      <c r="E470" cm="1">
        <f t="array" ref="E470">INDEX(salesmonthly!$B$2:$I$5000, INT((ROW()-2)/8)+1, MOD(ROW()-2,8)+1)</f>
        <v>252.2</v>
      </c>
    </row>
    <row r="471" spans="1:5" x14ac:dyDescent="0.35">
      <c r="A471" s="1" cm="1">
        <f t="array" ref="A471">INDEX(salesmonthly!$A$2:$A$5000, INT((ROW()-2)/8)+1)</f>
        <v>43434</v>
      </c>
      <c r="B471" cm="1">
        <f t="array" ref="B471">INDEX(salesmonthly!$J$2:$J$5000, INT((ROW()-2)/8)+1)</f>
        <v>2018</v>
      </c>
      <c r="C471" cm="1">
        <f t="array" ref="C471">INDEX(salesmonthly!$K$2:$K$5000, INT((ROW()-2)/8)+1)</f>
        <v>11</v>
      </c>
      <c r="D471" t="str" cm="1">
        <f t="array" ref="D471">INDEX(salesmonthly!$B$1:$I$1, MOD(ROW()-2,8)+1)</f>
        <v>N05C</v>
      </c>
      <c r="E471" cm="1">
        <f t="array" ref="E471">INDEX(salesmonthly!$B$2:$I$5000, INT((ROW()-2)/8)+1, MOD(ROW()-2,8)+1)</f>
        <v>22</v>
      </c>
    </row>
    <row r="472" spans="1:5" x14ac:dyDescent="0.35">
      <c r="A472" s="1" cm="1">
        <f t="array" ref="A472">INDEX(salesmonthly!$A$2:$A$5000, INT((ROW()-2)/8)+1)</f>
        <v>43434</v>
      </c>
      <c r="B472" cm="1">
        <f t="array" ref="B472">INDEX(salesmonthly!$J$2:$J$5000, INT((ROW()-2)/8)+1)</f>
        <v>2018</v>
      </c>
      <c r="C472" cm="1">
        <f t="array" ref="C472">INDEX(salesmonthly!$K$2:$K$5000, INT((ROW()-2)/8)+1)</f>
        <v>11</v>
      </c>
      <c r="D472" t="str" cm="1">
        <f t="array" ref="D472">INDEX(salesmonthly!$B$1:$I$1, MOD(ROW()-2,8)+1)</f>
        <v>R03</v>
      </c>
      <c r="E472" cm="1">
        <f t="array" ref="E472">INDEX(salesmonthly!$B$2:$I$5000, INT((ROW()-2)/8)+1, MOD(ROW()-2,8)+1)</f>
        <v>311</v>
      </c>
    </row>
    <row r="473" spans="1:5" x14ac:dyDescent="0.35">
      <c r="A473" s="1" cm="1">
        <f t="array" ref="A473">INDEX(salesmonthly!$A$2:$A$5000, INT((ROW()-2)/8)+1)</f>
        <v>43434</v>
      </c>
      <c r="B473" cm="1">
        <f t="array" ref="B473">INDEX(salesmonthly!$J$2:$J$5000, INT((ROW()-2)/8)+1)</f>
        <v>2018</v>
      </c>
      <c r="C473" cm="1">
        <f t="array" ref="C473">INDEX(salesmonthly!$K$2:$K$5000, INT((ROW()-2)/8)+1)</f>
        <v>11</v>
      </c>
      <c r="D473" t="str" cm="1">
        <f t="array" ref="D473">INDEX(salesmonthly!$B$1:$I$1, MOD(ROW()-2,8)+1)</f>
        <v>R06</v>
      </c>
      <c r="E473" t="str" cm="1">
        <f t="array" ref="E473">INDEX(salesmonthly!$B$2:$I$5000, INT((ROW()-2)/8)+1, MOD(ROW()-2,8)+1)</f>
        <v>48.400000000000006</v>
      </c>
    </row>
    <row r="474" spans="1:5" x14ac:dyDescent="0.35">
      <c r="A474" s="1" cm="1">
        <f t="array" ref="A474">INDEX(salesmonthly!$A$2:$A$5000, INT((ROW()-2)/8)+1)</f>
        <v>43465</v>
      </c>
      <c r="B474" cm="1">
        <f t="array" ref="B474">INDEX(salesmonthly!$J$2:$J$5000, INT((ROW()-2)/8)+1)</f>
        <v>2018</v>
      </c>
      <c r="C474" cm="1">
        <f t="array" ref="C474">INDEX(salesmonthly!$K$2:$K$5000, INT((ROW()-2)/8)+1)</f>
        <v>12</v>
      </c>
      <c r="D474" t="str" cm="1">
        <f t="array" ref="D474">INDEX(salesmonthly!$B$1:$I$1, MOD(ROW()-2,8)+1)</f>
        <v>M01AB</v>
      </c>
      <c r="E474" t="str" cm="1">
        <f t="array" ref="E474">INDEX(salesmonthly!$B$2:$I$5000, INT((ROW()-2)/8)+1, MOD(ROW()-2,8)+1)</f>
        <v>147.71000000000004</v>
      </c>
    </row>
    <row r="475" spans="1:5" x14ac:dyDescent="0.35">
      <c r="A475" s="1" cm="1">
        <f t="array" ref="A475">INDEX(salesmonthly!$A$2:$A$5000, INT((ROW()-2)/8)+1)</f>
        <v>43465</v>
      </c>
      <c r="B475" cm="1">
        <f t="array" ref="B475">INDEX(salesmonthly!$J$2:$J$5000, INT((ROW()-2)/8)+1)</f>
        <v>2018</v>
      </c>
      <c r="C475" cm="1">
        <f t="array" ref="C475">INDEX(salesmonthly!$K$2:$K$5000, INT((ROW()-2)/8)+1)</f>
        <v>12</v>
      </c>
      <c r="D475" t="str" cm="1">
        <f t="array" ref="D475">INDEX(salesmonthly!$B$1:$I$1, MOD(ROW()-2,8)+1)</f>
        <v>M01AE</v>
      </c>
      <c r="E475" t="str" cm="1">
        <f t="array" ref="E475">INDEX(salesmonthly!$B$2:$I$5000, INT((ROW()-2)/8)+1, MOD(ROW()-2,8)+1)</f>
        <v>113.02400000000011</v>
      </c>
    </row>
    <row r="476" spans="1:5" x14ac:dyDescent="0.35">
      <c r="A476" s="1" cm="1">
        <f t="array" ref="A476">INDEX(salesmonthly!$A$2:$A$5000, INT((ROW()-2)/8)+1)</f>
        <v>43465</v>
      </c>
      <c r="B476" cm="1">
        <f t="array" ref="B476">INDEX(salesmonthly!$J$2:$J$5000, INT((ROW()-2)/8)+1)</f>
        <v>2018</v>
      </c>
      <c r="C476" cm="1">
        <f t="array" ref="C476">INDEX(salesmonthly!$K$2:$K$5000, INT((ROW()-2)/8)+1)</f>
        <v>12</v>
      </c>
      <c r="D476" t="str" cm="1">
        <f t="array" ref="D476">INDEX(salesmonthly!$B$1:$I$1, MOD(ROW()-2,8)+1)</f>
        <v>N02BA</v>
      </c>
      <c r="E476" cm="1">
        <f t="array" ref="E476">INDEX(salesmonthly!$B$2:$I$5000, INT((ROW()-2)/8)+1, MOD(ROW()-2,8)+1)</f>
        <v>84.75</v>
      </c>
    </row>
    <row r="477" spans="1:5" x14ac:dyDescent="0.35">
      <c r="A477" s="1" cm="1">
        <f t="array" ref="A477">INDEX(salesmonthly!$A$2:$A$5000, INT((ROW()-2)/8)+1)</f>
        <v>43465</v>
      </c>
      <c r="B477" cm="1">
        <f t="array" ref="B477">INDEX(salesmonthly!$J$2:$J$5000, INT((ROW()-2)/8)+1)</f>
        <v>2018</v>
      </c>
      <c r="C477" cm="1">
        <f t="array" ref="C477">INDEX(salesmonthly!$K$2:$K$5000, INT((ROW()-2)/8)+1)</f>
        <v>12</v>
      </c>
      <c r="D477" t="str" cm="1">
        <f t="array" ref="D477">INDEX(salesmonthly!$B$1:$I$1, MOD(ROW()-2,8)+1)</f>
        <v>N02BE</v>
      </c>
      <c r="E477" cm="1">
        <f t="array" ref="E477">INDEX(salesmonthly!$B$2:$I$5000, INT((ROW()-2)/8)+1, MOD(ROW()-2,8)+1)</f>
        <v>1213.95</v>
      </c>
    </row>
    <row r="478" spans="1:5" x14ac:dyDescent="0.35">
      <c r="A478" s="1" cm="1">
        <f t="array" ref="A478">INDEX(salesmonthly!$A$2:$A$5000, INT((ROW()-2)/8)+1)</f>
        <v>43465</v>
      </c>
      <c r="B478" cm="1">
        <f t="array" ref="B478">INDEX(salesmonthly!$J$2:$J$5000, INT((ROW()-2)/8)+1)</f>
        <v>2018</v>
      </c>
      <c r="C478" cm="1">
        <f t="array" ref="C478">INDEX(salesmonthly!$K$2:$K$5000, INT((ROW()-2)/8)+1)</f>
        <v>12</v>
      </c>
      <c r="D478" t="str" cm="1">
        <f t="array" ref="D478">INDEX(salesmonthly!$B$1:$I$1, MOD(ROW()-2,8)+1)</f>
        <v>N05B</v>
      </c>
      <c r="E478" cm="1">
        <f t="array" ref="E478">INDEX(salesmonthly!$B$2:$I$5000, INT((ROW()-2)/8)+1, MOD(ROW()-2,8)+1)</f>
        <v>254</v>
      </c>
    </row>
    <row r="479" spans="1:5" x14ac:dyDescent="0.35">
      <c r="A479" s="1" cm="1">
        <f t="array" ref="A479">INDEX(salesmonthly!$A$2:$A$5000, INT((ROW()-2)/8)+1)</f>
        <v>43465</v>
      </c>
      <c r="B479" cm="1">
        <f t="array" ref="B479">INDEX(salesmonthly!$J$2:$J$5000, INT((ROW()-2)/8)+1)</f>
        <v>2018</v>
      </c>
      <c r="C479" cm="1">
        <f t="array" ref="C479">INDEX(salesmonthly!$K$2:$K$5000, INT((ROW()-2)/8)+1)</f>
        <v>12</v>
      </c>
      <c r="D479" t="str" cm="1">
        <f t="array" ref="D479">INDEX(salesmonthly!$B$1:$I$1, MOD(ROW()-2,8)+1)</f>
        <v>N05C</v>
      </c>
      <c r="E479" cm="1">
        <f t="array" ref="E479">INDEX(salesmonthly!$B$2:$I$5000, INT((ROW()-2)/8)+1, MOD(ROW()-2,8)+1)</f>
        <v>27</v>
      </c>
    </row>
    <row r="480" spans="1:5" x14ac:dyDescent="0.35">
      <c r="A480" s="1" cm="1">
        <f t="array" ref="A480">INDEX(salesmonthly!$A$2:$A$5000, INT((ROW()-2)/8)+1)</f>
        <v>43465</v>
      </c>
      <c r="B480" cm="1">
        <f t="array" ref="B480">INDEX(salesmonthly!$J$2:$J$5000, INT((ROW()-2)/8)+1)</f>
        <v>2018</v>
      </c>
      <c r="C480" cm="1">
        <f t="array" ref="C480">INDEX(salesmonthly!$K$2:$K$5000, INT((ROW()-2)/8)+1)</f>
        <v>12</v>
      </c>
      <c r="D480" t="str" cm="1">
        <f t="array" ref="D480">INDEX(salesmonthly!$B$1:$I$1, MOD(ROW()-2,8)+1)</f>
        <v>R03</v>
      </c>
      <c r="E480" cm="1">
        <f t="array" ref="E480">INDEX(salesmonthly!$B$2:$I$5000, INT((ROW()-2)/8)+1, MOD(ROW()-2,8)+1)</f>
        <v>384</v>
      </c>
    </row>
    <row r="481" spans="1:5" x14ac:dyDescent="0.35">
      <c r="A481" s="1" cm="1">
        <f t="array" ref="A481">INDEX(salesmonthly!$A$2:$A$5000, INT((ROW()-2)/8)+1)</f>
        <v>43465</v>
      </c>
      <c r="B481" cm="1">
        <f t="array" ref="B481">INDEX(salesmonthly!$J$2:$J$5000, INT((ROW()-2)/8)+1)</f>
        <v>2018</v>
      </c>
      <c r="C481" cm="1">
        <f t="array" ref="C481">INDEX(salesmonthly!$K$2:$K$5000, INT((ROW()-2)/8)+1)</f>
        <v>12</v>
      </c>
      <c r="D481" t="str" cm="1">
        <f t="array" ref="D481">INDEX(salesmonthly!$B$1:$I$1, MOD(ROW()-2,8)+1)</f>
        <v>R06</v>
      </c>
      <c r="E481" t="str" cm="1">
        <f t="array" ref="E481">INDEX(salesmonthly!$B$2:$I$5000, INT((ROW()-2)/8)+1, MOD(ROW()-2,8)+1)</f>
        <v>53.099999999999994</v>
      </c>
    </row>
    <row r="482" spans="1:5" x14ac:dyDescent="0.35">
      <c r="A482" s="1" cm="1">
        <f t="array" ref="A482">INDEX(salesmonthly!$A$2:$A$5000, INT((ROW()-2)/8)+1)</f>
        <v>43496</v>
      </c>
      <c r="B482" cm="1">
        <f t="array" ref="B482">INDEX(salesmonthly!$J$2:$J$5000, INT((ROW()-2)/8)+1)</f>
        <v>2019</v>
      </c>
      <c r="C482" cm="1">
        <f t="array" ref="C482">INDEX(salesmonthly!$K$2:$K$5000, INT((ROW()-2)/8)+1)</f>
        <v>1</v>
      </c>
      <c r="D482" t="str" cm="1">
        <f t="array" ref="D482">INDEX(salesmonthly!$B$1:$I$1, MOD(ROW()-2,8)+1)</f>
        <v>M01AB</v>
      </c>
      <c r="E482" t="str" cm="1">
        <f t="array" ref="E482">INDEX(salesmonthly!$B$2:$I$5000, INT((ROW()-2)/8)+1, MOD(ROW()-2,8)+1)</f>
        <v>179.70000000000007</v>
      </c>
    </row>
    <row r="483" spans="1:5" x14ac:dyDescent="0.35">
      <c r="A483" s="1" cm="1">
        <f t="array" ref="A483">INDEX(salesmonthly!$A$2:$A$5000, INT((ROW()-2)/8)+1)</f>
        <v>43496</v>
      </c>
      <c r="B483" cm="1">
        <f t="array" ref="B483">INDEX(salesmonthly!$J$2:$J$5000, INT((ROW()-2)/8)+1)</f>
        <v>2019</v>
      </c>
      <c r="C483" cm="1">
        <f t="array" ref="C483">INDEX(salesmonthly!$K$2:$K$5000, INT((ROW()-2)/8)+1)</f>
        <v>1</v>
      </c>
      <c r="D483" t="str" cm="1">
        <f t="array" ref="D483">INDEX(salesmonthly!$B$1:$I$1, MOD(ROW()-2,8)+1)</f>
        <v>M01AE</v>
      </c>
      <c r="E483" t="str" cm="1">
        <f t="array" ref="E483">INDEX(salesmonthly!$B$2:$I$5000, INT((ROW()-2)/8)+1, MOD(ROW()-2,8)+1)</f>
        <v>222.35100000000017</v>
      </c>
    </row>
    <row r="484" spans="1:5" x14ac:dyDescent="0.35">
      <c r="A484" s="1" cm="1">
        <f t="array" ref="A484">INDEX(salesmonthly!$A$2:$A$5000, INT((ROW()-2)/8)+1)</f>
        <v>43496</v>
      </c>
      <c r="B484" cm="1">
        <f t="array" ref="B484">INDEX(salesmonthly!$J$2:$J$5000, INT((ROW()-2)/8)+1)</f>
        <v>2019</v>
      </c>
      <c r="C484" cm="1">
        <f t="array" ref="C484">INDEX(salesmonthly!$K$2:$K$5000, INT((ROW()-2)/8)+1)</f>
        <v>1</v>
      </c>
      <c r="D484" t="str" cm="1">
        <f t="array" ref="D484">INDEX(salesmonthly!$B$1:$I$1, MOD(ROW()-2,8)+1)</f>
        <v>N02BA</v>
      </c>
      <c r="E484" t="str" cm="1">
        <f t="array" ref="E484">INDEX(salesmonthly!$B$2:$I$5000, INT((ROW()-2)/8)+1, MOD(ROW()-2,8)+1)</f>
        <v>99.69999999999999</v>
      </c>
    </row>
    <row r="485" spans="1:5" x14ac:dyDescent="0.35">
      <c r="A485" s="1" cm="1">
        <f t="array" ref="A485">INDEX(salesmonthly!$A$2:$A$5000, INT((ROW()-2)/8)+1)</f>
        <v>43496</v>
      </c>
      <c r="B485" cm="1">
        <f t="array" ref="B485">INDEX(salesmonthly!$J$2:$J$5000, INT((ROW()-2)/8)+1)</f>
        <v>2019</v>
      </c>
      <c r="C485" cm="1">
        <f t="array" ref="C485">INDEX(salesmonthly!$K$2:$K$5000, INT((ROW()-2)/8)+1)</f>
        <v>1</v>
      </c>
      <c r="D485" t="str" cm="1">
        <f t="array" ref="D485">INDEX(salesmonthly!$B$1:$I$1, MOD(ROW()-2,8)+1)</f>
        <v>N02BE</v>
      </c>
      <c r="E485" t="str" cm="1">
        <f t="array" ref="E485">INDEX(salesmonthly!$B$2:$I$5000, INT((ROW()-2)/8)+1, MOD(ROW()-2,8)+1)</f>
        <v>1660.6120000000012</v>
      </c>
    </row>
    <row r="486" spans="1:5" x14ac:dyDescent="0.35">
      <c r="A486" s="1" cm="1">
        <f t="array" ref="A486">INDEX(salesmonthly!$A$2:$A$5000, INT((ROW()-2)/8)+1)</f>
        <v>43496</v>
      </c>
      <c r="B486" cm="1">
        <f t="array" ref="B486">INDEX(salesmonthly!$J$2:$J$5000, INT((ROW()-2)/8)+1)</f>
        <v>2019</v>
      </c>
      <c r="C486" cm="1">
        <f t="array" ref="C486">INDEX(salesmonthly!$K$2:$K$5000, INT((ROW()-2)/8)+1)</f>
        <v>1</v>
      </c>
      <c r="D486" t="str" cm="1">
        <f t="array" ref="D486">INDEX(salesmonthly!$B$1:$I$1, MOD(ROW()-2,8)+1)</f>
        <v>N05B</v>
      </c>
      <c r="E486" cm="1">
        <f t="array" ref="E486">INDEX(salesmonthly!$B$2:$I$5000, INT((ROW()-2)/8)+1, MOD(ROW()-2,8)+1)</f>
        <v>295.2</v>
      </c>
    </row>
    <row r="487" spans="1:5" x14ac:dyDescent="0.35">
      <c r="A487" s="1" cm="1">
        <f t="array" ref="A487">INDEX(salesmonthly!$A$2:$A$5000, INT((ROW()-2)/8)+1)</f>
        <v>43496</v>
      </c>
      <c r="B487" cm="1">
        <f t="array" ref="B487">INDEX(salesmonthly!$J$2:$J$5000, INT((ROW()-2)/8)+1)</f>
        <v>2019</v>
      </c>
      <c r="C487" cm="1">
        <f t="array" ref="C487">INDEX(salesmonthly!$K$2:$K$5000, INT((ROW()-2)/8)+1)</f>
        <v>1</v>
      </c>
      <c r="D487" t="str" cm="1">
        <f t="array" ref="D487">INDEX(salesmonthly!$B$1:$I$1, MOD(ROW()-2,8)+1)</f>
        <v>N05C</v>
      </c>
      <c r="E487" cm="1">
        <f t="array" ref="E487">INDEX(salesmonthly!$B$2:$I$5000, INT((ROW()-2)/8)+1, MOD(ROW()-2,8)+1)</f>
        <v>23</v>
      </c>
    </row>
    <row r="488" spans="1:5" x14ac:dyDescent="0.35">
      <c r="A488" s="1" cm="1">
        <f t="array" ref="A488">INDEX(salesmonthly!$A$2:$A$5000, INT((ROW()-2)/8)+1)</f>
        <v>43496</v>
      </c>
      <c r="B488" cm="1">
        <f t="array" ref="B488">INDEX(salesmonthly!$J$2:$J$5000, INT((ROW()-2)/8)+1)</f>
        <v>2019</v>
      </c>
      <c r="C488" cm="1">
        <f t="array" ref="C488">INDEX(salesmonthly!$K$2:$K$5000, INT((ROW()-2)/8)+1)</f>
        <v>1</v>
      </c>
      <c r="D488" t="str" cm="1">
        <f t="array" ref="D488">INDEX(salesmonthly!$B$1:$I$1, MOD(ROW()-2,8)+1)</f>
        <v>R03</v>
      </c>
      <c r="E488" cm="1">
        <f t="array" ref="E488">INDEX(salesmonthly!$B$2:$I$5000, INT((ROW()-2)/8)+1, MOD(ROW()-2,8)+1)</f>
        <v>386</v>
      </c>
    </row>
    <row r="489" spans="1:5" x14ac:dyDescent="0.35">
      <c r="A489" s="1" cm="1">
        <f t="array" ref="A489">INDEX(salesmonthly!$A$2:$A$5000, INT((ROW()-2)/8)+1)</f>
        <v>43496</v>
      </c>
      <c r="B489" cm="1">
        <f t="array" ref="B489">INDEX(salesmonthly!$J$2:$J$5000, INT((ROW()-2)/8)+1)</f>
        <v>2019</v>
      </c>
      <c r="C489" cm="1">
        <f t="array" ref="C489">INDEX(salesmonthly!$K$2:$K$5000, INT((ROW()-2)/8)+1)</f>
        <v>1</v>
      </c>
      <c r="D489" t="str" cm="1">
        <f t="array" ref="D489">INDEX(salesmonthly!$B$1:$I$1, MOD(ROW()-2,8)+1)</f>
        <v>R06</v>
      </c>
      <c r="E489" cm="1">
        <f t="array" ref="E489">INDEX(salesmonthly!$B$2:$I$5000, INT((ROW()-2)/8)+1, MOD(ROW()-2,8)+1)</f>
        <v>41.3</v>
      </c>
    </row>
    <row r="490" spans="1:5" x14ac:dyDescent="0.35">
      <c r="A490" s="1" cm="1">
        <f t="array" ref="A490">INDEX(salesmonthly!$A$2:$A$5000, INT((ROW()-2)/8)+1)</f>
        <v>43524</v>
      </c>
      <c r="B490" cm="1">
        <f t="array" ref="B490">INDEX(salesmonthly!$J$2:$J$5000, INT((ROW()-2)/8)+1)</f>
        <v>2019</v>
      </c>
      <c r="C490" cm="1">
        <f t="array" ref="C490">INDEX(salesmonthly!$K$2:$K$5000, INT((ROW()-2)/8)+1)</f>
        <v>2</v>
      </c>
      <c r="D490" t="str" cm="1">
        <f t="array" ref="D490">INDEX(salesmonthly!$B$1:$I$1, MOD(ROW()-2,8)+1)</f>
        <v>M01AB</v>
      </c>
      <c r="E490" t="str" cm="1">
        <f t="array" ref="E490">INDEX(salesmonthly!$B$2:$I$5000, INT((ROW()-2)/8)+1, MOD(ROW()-2,8)+1)</f>
        <v>133.73000000000002</v>
      </c>
    </row>
    <row r="491" spans="1:5" x14ac:dyDescent="0.35">
      <c r="A491" s="1" cm="1">
        <f t="array" ref="A491">INDEX(salesmonthly!$A$2:$A$5000, INT((ROW()-2)/8)+1)</f>
        <v>43524</v>
      </c>
      <c r="B491" cm="1">
        <f t="array" ref="B491">INDEX(salesmonthly!$J$2:$J$5000, INT((ROW()-2)/8)+1)</f>
        <v>2019</v>
      </c>
      <c r="C491" cm="1">
        <f t="array" ref="C491">INDEX(salesmonthly!$K$2:$K$5000, INT((ROW()-2)/8)+1)</f>
        <v>2</v>
      </c>
      <c r="D491" t="str" cm="1">
        <f t="array" ref="D491">INDEX(salesmonthly!$B$1:$I$1, MOD(ROW()-2,8)+1)</f>
        <v>M01AE</v>
      </c>
      <c r="E491" t="str" cm="1">
        <f t="array" ref="E491">INDEX(salesmonthly!$B$2:$I$5000, INT((ROW()-2)/8)+1, MOD(ROW()-2,8)+1)</f>
        <v>142.15500000000014</v>
      </c>
    </row>
    <row r="492" spans="1:5" x14ac:dyDescent="0.35">
      <c r="A492" s="1" cm="1">
        <f t="array" ref="A492">INDEX(salesmonthly!$A$2:$A$5000, INT((ROW()-2)/8)+1)</f>
        <v>43524</v>
      </c>
      <c r="B492" cm="1">
        <f t="array" ref="B492">INDEX(salesmonthly!$J$2:$J$5000, INT((ROW()-2)/8)+1)</f>
        <v>2019</v>
      </c>
      <c r="C492" cm="1">
        <f t="array" ref="C492">INDEX(salesmonthly!$K$2:$K$5000, INT((ROW()-2)/8)+1)</f>
        <v>2</v>
      </c>
      <c r="D492" t="str" cm="1">
        <f t="array" ref="D492">INDEX(salesmonthly!$B$1:$I$1, MOD(ROW()-2,8)+1)</f>
        <v>N02BA</v>
      </c>
      <c r="E492" t="str" cm="1">
        <f t="array" ref="E492">INDEX(salesmonthly!$B$2:$I$5000, INT((ROW()-2)/8)+1, MOD(ROW()-2,8)+1)</f>
        <v>110.19999999999996</v>
      </c>
    </row>
    <row r="493" spans="1:5" x14ac:dyDescent="0.35">
      <c r="A493" s="1" cm="1">
        <f t="array" ref="A493">INDEX(salesmonthly!$A$2:$A$5000, INT((ROW()-2)/8)+1)</f>
        <v>43524</v>
      </c>
      <c r="B493" cm="1">
        <f t="array" ref="B493">INDEX(salesmonthly!$J$2:$J$5000, INT((ROW()-2)/8)+1)</f>
        <v>2019</v>
      </c>
      <c r="C493" cm="1">
        <f t="array" ref="C493">INDEX(salesmonthly!$K$2:$K$5000, INT((ROW()-2)/8)+1)</f>
        <v>2</v>
      </c>
      <c r="D493" t="str" cm="1">
        <f t="array" ref="D493">INDEX(salesmonthly!$B$1:$I$1, MOD(ROW()-2,8)+1)</f>
        <v>N02BE</v>
      </c>
      <c r="E493" t="str" cm="1">
        <f t="array" ref="E493">INDEX(salesmonthly!$B$2:$I$5000, INT((ROW()-2)/8)+1, MOD(ROW()-2,8)+1)</f>
        <v>1001.2120000000003</v>
      </c>
    </row>
    <row r="494" spans="1:5" x14ac:dyDescent="0.35">
      <c r="A494" s="1" cm="1">
        <f t="array" ref="A494">INDEX(salesmonthly!$A$2:$A$5000, INT((ROW()-2)/8)+1)</f>
        <v>43524</v>
      </c>
      <c r="B494" cm="1">
        <f t="array" ref="B494">INDEX(salesmonthly!$J$2:$J$5000, INT((ROW()-2)/8)+1)</f>
        <v>2019</v>
      </c>
      <c r="C494" cm="1">
        <f t="array" ref="C494">INDEX(salesmonthly!$K$2:$K$5000, INT((ROW()-2)/8)+1)</f>
        <v>2</v>
      </c>
      <c r="D494" t="str" cm="1">
        <f t="array" ref="D494">INDEX(salesmonthly!$B$1:$I$1, MOD(ROW()-2,8)+1)</f>
        <v>N05B</v>
      </c>
      <c r="E494" t="str" cm="1">
        <f t="array" ref="E494">INDEX(salesmonthly!$B$2:$I$5000, INT((ROW()-2)/8)+1, MOD(ROW()-2,8)+1)</f>
        <v>249.39999999999998</v>
      </c>
    </row>
    <row r="495" spans="1:5" x14ac:dyDescent="0.35">
      <c r="A495" s="1" cm="1">
        <f t="array" ref="A495">INDEX(salesmonthly!$A$2:$A$5000, INT((ROW()-2)/8)+1)</f>
        <v>43524</v>
      </c>
      <c r="B495" cm="1">
        <f t="array" ref="B495">INDEX(salesmonthly!$J$2:$J$5000, INT((ROW()-2)/8)+1)</f>
        <v>2019</v>
      </c>
      <c r="C495" cm="1">
        <f t="array" ref="C495">INDEX(salesmonthly!$K$2:$K$5000, INT((ROW()-2)/8)+1)</f>
        <v>2</v>
      </c>
      <c r="D495" t="str" cm="1">
        <f t="array" ref="D495">INDEX(salesmonthly!$B$1:$I$1, MOD(ROW()-2,8)+1)</f>
        <v>N05C</v>
      </c>
      <c r="E495" cm="1">
        <f t="array" ref="E495">INDEX(salesmonthly!$B$2:$I$5000, INT((ROW()-2)/8)+1, MOD(ROW()-2,8)+1)</f>
        <v>12</v>
      </c>
    </row>
    <row r="496" spans="1:5" x14ac:dyDescent="0.35">
      <c r="A496" s="1" cm="1">
        <f t="array" ref="A496">INDEX(salesmonthly!$A$2:$A$5000, INT((ROW()-2)/8)+1)</f>
        <v>43524</v>
      </c>
      <c r="B496" cm="1">
        <f t="array" ref="B496">INDEX(salesmonthly!$J$2:$J$5000, INT((ROW()-2)/8)+1)</f>
        <v>2019</v>
      </c>
      <c r="C496" cm="1">
        <f t="array" ref="C496">INDEX(salesmonthly!$K$2:$K$5000, INT((ROW()-2)/8)+1)</f>
        <v>2</v>
      </c>
      <c r="D496" t="str" cm="1">
        <f t="array" ref="D496">INDEX(salesmonthly!$B$1:$I$1, MOD(ROW()-2,8)+1)</f>
        <v>R03</v>
      </c>
      <c r="E496" cm="1">
        <f t="array" ref="E496">INDEX(salesmonthly!$B$2:$I$5000, INT((ROW()-2)/8)+1, MOD(ROW()-2,8)+1)</f>
        <v>226</v>
      </c>
    </row>
    <row r="497" spans="1:5" x14ac:dyDescent="0.35">
      <c r="A497" s="1" cm="1">
        <f t="array" ref="A497">INDEX(salesmonthly!$A$2:$A$5000, INT((ROW()-2)/8)+1)</f>
        <v>43524</v>
      </c>
      <c r="B497" cm="1">
        <f t="array" ref="B497">INDEX(salesmonthly!$J$2:$J$5000, INT((ROW()-2)/8)+1)</f>
        <v>2019</v>
      </c>
      <c r="C497" cm="1">
        <f t="array" ref="C497">INDEX(salesmonthly!$K$2:$K$5000, INT((ROW()-2)/8)+1)</f>
        <v>2</v>
      </c>
      <c r="D497" t="str" cm="1">
        <f t="array" ref="D497">INDEX(salesmonthly!$B$1:$I$1, MOD(ROW()-2,8)+1)</f>
        <v>R06</v>
      </c>
      <c r="E497" cm="1">
        <f t="array" ref="E497">INDEX(salesmonthly!$B$2:$I$5000, INT((ROW()-2)/8)+1, MOD(ROW()-2,8)+1)</f>
        <v>69.5</v>
      </c>
    </row>
    <row r="498" spans="1:5" x14ac:dyDescent="0.35">
      <c r="A498" s="1" cm="1">
        <f t="array" ref="A498">INDEX(salesmonthly!$A$2:$A$5000, INT((ROW()-2)/8)+1)</f>
        <v>43555</v>
      </c>
      <c r="B498" cm="1">
        <f t="array" ref="B498">INDEX(salesmonthly!$J$2:$J$5000, INT((ROW()-2)/8)+1)</f>
        <v>2019</v>
      </c>
      <c r="C498" cm="1">
        <f t="array" ref="C498">INDEX(salesmonthly!$K$2:$K$5000, INT((ROW()-2)/8)+1)</f>
        <v>3</v>
      </c>
      <c r="D498" t="str" cm="1">
        <f t="array" ref="D498">INDEX(salesmonthly!$B$1:$I$1, MOD(ROW()-2,8)+1)</f>
        <v>M01AB</v>
      </c>
      <c r="E498" t="str" cm="1">
        <f t="array" ref="E498">INDEX(salesmonthly!$B$2:$I$5000, INT((ROW()-2)/8)+1, MOD(ROW()-2,8)+1)</f>
        <v>154.52000000000004</v>
      </c>
    </row>
    <row r="499" spans="1:5" x14ac:dyDescent="0.35">
      <c r="A499" s="1" cm="1">
        <f t="array" ref="A499">INDEX(salesmonthly!$A$2:$A$5000, INT((ROW()-2)/8)+1)</f>
        <v>43555</v>
      </c>
      <c r="B499" cm="1">
        <f t="array" ref="B499">INDEX(salesmonthly!$J$2:$J$5000, INT((ROW()-2)/8)+1)</f>
        <v>2019</v>
      </c>
      <c r="C499" cm="1">
        <f t="array" ref="C499">INDEX(salesmonthly!$K$2:$K$5000, INT((ROW()-2)/8)+1)</f>
        <v>3</v>
      </c>
      <c r="D499" t="str" cm="1">
        <f t="array" ref="D499">INDEX(salesmonthly!$B$1:$I$1, MOD(ROW()-2,8)+1)</f>
        <v>M01AE</v>
      </c>
      <c r="E499" t="str" cm="1">
        <f t="array" ref="E499">INDEX(salesmonthly!$B$2:$I$5000, INT((ROW()-2)/8)+1, MOD(ROW()-2,8)+1)</f>
        <v>113.11800000000004</v>
      </c>
    </row>
    <row r="500" spans="1:5" x14ac:dyDescent="0.35">
      <c r="A500" s="1" cm="1">
        <f t="array" ref="A500">INDEX(salesmonthly!$A$2:$A$5000, INT((ROW()-2)/8)+1)</f>
        <v>43555</v>
      </c>
      <c r="B500" cm="1">
        <f t="array" ref="B500">INDEX(salesmonthly!$J$2:$J$5000, INT((ROW()-2)/8)+1)</f>
        <v>2019</v>
      </c>
      <c r="C500" cm="1">
        <f t="array" ref="C500">INDEX(salesmonthly!$K$2:$K$5000, INT((ROW()-2)/8)+1)</f>
        <v>3</v>
      </c>
      <c r="D500" t="str" cm="1">
        <f t="array" ref="D500">INDEX(salesmonthly!$B$1:$I$1, MOD(ROW()-2,8)+1)</f>
        <v>N02BA</v>
      </c>
      <c r="E500" t="str" cm="1">
        <f t="array" ref="E500">INDEX(salesmonthly!$B$2:$I$5000, INT((ROW()-2)/8)+1, MOD(ROW()-2,8)+1)</f>
        <v>83.35000000000001</v>
      </c>
    </row>
    <row r="501" spans="1:5" x14ac:dyDescent="0.35">
      <c r="A501" s="1" cm="1">
        <f t="array" ref="A501">INDEX(salesmonthly!$A$2:$A$5000, INT((ROW()-2)/8)+1)</f>
        <v>43555</v>
      </c>
      <c r="B501" cm="1">
        <f t="array" ref="B501">INDEX(salesmonthly!$J$2:$J$5000, INT((ROW()-2)/8)+1)</f>
        <v>2019</v>
      </c>
      <c r="C501" cm="1">
        <f t="array" ref="C501">INDEX(salesmonthly!$K$2:$K$5000, INT((ROW()-2)/8)+1)</f>
        <v>3</v>
      </c>
      <c r="D501" t="str" cm="1">
        <f t="array" ref="D501">INDEX(salesmonthly!$B$1:$I$1, MOD(ROW()-2,8)+1)</f>
        <v>N02BE</v>
      </c>
      <c r="E501" cm="1">
        <f t="array" ref="E501">INDEX(salesmonthly!$B$2:$I$5000, INT((ROW()-2)/8)+1, MOD(ROW()-2,8)+1)</f>
        <v>941.05</v>
      </c>
    </row>
    <row r="502" spans="1:5" x14ac:dyDescent="0.35">
      <c r="A502" s="1" cm="1">
        <f t="array" ref="A502">INDEX(salesmonthly!$A$2:$A$5000, INT((ROW()-2)/8)+1)</f>
        <v>43555</v>
      </c>
      <c r="B502" cm="1">
        <f t="array" ref="B502">INDEX(salesmonthly!$J$2:$J$5000, INT((ROW()-2)/8)+1)</f>
        <v>2019</v>
      </c>
      <c r="C502" cm="1">
        <f t="array" ref="C502">INDEX(salesmonthly!$K$2:$K$5000, INT((ROW()-2)/8)+1)</f>
        <v>3</v>
      </c>
      <c r="D502" t="str" cm="1">
        <f t="array" ref="D502">INDEX(salesmonthly!$B$1:$I$1, MOD(ROW()-2,8)+1)</f>
        <v>N05B</v>
      </c>
      <c r="E502" cm="1">
        <f t="array" ref="E502">INDEX(salesmonthly!$B$2:$I$5000, INT((ROW()-2)/8)+1, MOD(ROW()-2,8)+1)</f>
        <v>301.39999999999998</v>
      </c>
    </row>
    <row r="503" spans="1:5" x14ac:dyDescent="0.35">
      <c r="A503" s="1" cm="1">
        <f t="array" ref="A503">INDEX(salesmonthly!$A$2:$A$5000, INT((ROW()-2)/8)+1)</f>
        <v>43555</v>
      </c>
      <c r="B503" cm="1">
        <f t="array" ref="B503">INDEX(salesmonthly!$J$2:$J$5000, INT((ROW()-2)/8)+1)</f>
        <v>2019</v>
      </c>
      <c r="C503" cm="1">
        <f t="array" ref="C503">INDEX(salesmonthly!$K$2:$K$5000, INT((ROW()-2)/8)+1)</f>
        <v>3</v>
      </c>
      <c r="D503" t="str" cm="1">
        <f t="array" ref="D503">INDEX(salesmonthly!$B$1:$I$1, MOD(ROW()-2,8)+1)</f>
        <v>N05C</v>
      </c>
      <c r="E503" cm="1">
        <f t="array" ref="E503">INDEX(salesmonthly!$B$2:$I$5000, INT((ROW()-2)/8)+1, MOD(ROW()-2,8)+1)</f>
        <v>19</v>
      </c>
    </row>
    <row r="504" spans="1:5" x14ac:dyDescent="0.35">
      <c r="A504" s="1" cm="1">
        <f t="array" ref="A504">INDEX(salesmonthly!$A$2:$A$5000, INT((ROW()-2)/8)+1)</f>
        <v>43555</v>
      </c>
      <c r="B504" cm="1">
        <f t="array" ref="B504">INDEX(salesmonthly!$J$2:$J$5000, INT((ROW()-2)/8)+1)</f>
        <v>2019</v>
      </c>
      <c r="C504" cm="1">
        <f t="array" ref="C504">INDEX(salesmonthly!$K$2:$K$5000, INT((ROW()-2)/8)+1)</f>
        <v>3</v>
      </c>
      <c r="D504" t="str" cm="1">
        <f t="array" ref="D504">INDEX(salesmonthly!$B$1:$I$1, MOD(ROW()-2,8)+1)</f>
        <v>R03</v>
      </c>
      <c r="E504" cm="1">
        <f t="array" ref="E504">INDEX(salesmonthly!$B$2:$I$5000, INT((ROW()-2)/8)+1, MOD(ROW()-2,8)+1)</f>
        <v>257</v>
      </c>
    </row>
    <row r="505" spans="1:5" x14ac:dyDescent="0.35">
      <c r="A505" s="1" cm="1">
        <f t="array" ref="A505">INDEX(salesmonthly!$A$2:$A$5000, INT((ROW()-2)/8)+1)</f>
        <v>43555</v>
      </c>
      <c r="B505" cm="1">
        <f t="array" ref="B505">INDEX(salesmonthly!$J$2:$J$5000, INT((ROW()-2)/8)+1)</f>
        <v>2019</v>
      </c>
      <c r="C505" cm="1">
        <f t="array" ref="C505">INDEX(salesmonthly!$K$2:$K$5000, INT((ROW()-2)/8)+1)</f>
        <v>3</v>
      </c>
      <c r="D505" t="str" cm="1">
        <f t="array" ref="D505">INDEX(salesmonthly!$B$1:$I$1, MOD(ROW()-2,8)+1)</f>
        <v>R06</v>
      </c>
      <c r="E505" t="str" cm="1">
        <f t="array" ref="E505">INDEX(salesmonthly!$B$2:$I$5000, INT((ROW()-2)/8)+1, MOD(ROW()-2,8)+1)</f>
        <v>169.49999999999997</v>
      </c>
    </row>
    <row r="506" spans="1:5" x14ac:dyDescent="0.35">
      <c r="A506" s="1" cm="1">
        <f t="array" ref="A506">INDEX(salesmonthly!$A$2:$A$5000, INT((ROW()-2)/8)+1)</f>
        <v>43585</v>
      </c>
      <c r="B506" cm="1">
        <f t="array" ref="B506">INDEX(salesmonthly!$J$2:$J$5000, INT((ROW()-2)/8)+1)</f>
        <v>2019</v>
      </c>
      <c r="C506" cm="1">
        <f t="array" ref="C506">INDEX(salesmonthly!$K$2:$K$5000, INT((ROW()-2)/8)+1)</f>
        <v>4</v>
      </c>
      <c r="D506" t="str" cm="1">
        <f t="array" ref="D506">INDEX(salesmonthly!$B$1:$I$1, MOD(ROW()-2,8)+1)</f>
        <v>M01AB</v>
      </c>
      <c r="E506" t="str" cm="1">
        <f t="array" ref="E506">INDEX(salesmonthly!$B$2:$I$5000, INT((ROW()-2)/8)+1, MOD(ROW()-2,8)+1)</f>
        <v>161.39000000000004</v>
      </c>
    </row>
    <row r="507" spans="1:5" x14ac:dyDescent="0.35">
      <c r="A507" s="1" cm="1">
        <f t="array" ref="A507">INDEX(salesmonthly!$A$2:$A$5000, INT((ROW()-2)/8)+1)</f>
        <v>43585</v>
      </c>
      <c r="B507" cm="1">
        <f t="array" ref="B507">INDEX(salesmonthly!$J$2:$J$5000, INT((ROW()-2)/8)+1)</f>
        <v>2019</v>
      </c>
      <c r="C507" cm="1">
        <f t="array" ref="C507">INDEX(salesmonthly!$K$2:$K$5000, INT((ROW()-2)/8)+1)</f>
        <v>4</v>
      </c>
      <c r="D507" t="str" cm="1">
        <f t="array" ref="D507">INDEX(salesmonthly!$B$1:$I$1, MOD(ROW()-2,8)+1)</f>
        <v>M01AE</v>
      </c>
      <c r="E507" t="str" cm="1">
        <f t="array" ref="E507">INDEX(salesmonthly!$B$2:$I$5000, INT((ROW()-2)/8)+1, MOD(ROW()-2,8)+1)</f>
        <v>100.16500000000005</v>
      </c>
    </row>
    <row r="508" spans="1:5" x14ac:dyDescent="0.35">
      <c r="A508" s="1" cm="1">
        <f t="array" ref="A508">INDEX(salesmonthly!$A$2:$A$5000, INT((ROW()-2)/8)+1)</f>
        <v>43585</v>
      </c>
      <c r="B508" cm="1">
        <f t="array" ref="B508">INDEX(salesmonthly!$J$2:$J$5000, INT((ROW()-2)/8)+1)</f>
        <v>2019</v>
      </c>
      <c r="C508" cm="1">
        <f t="array" ref="C508">INDEX(salesmonthly!$K$2:$K$5000, INT((ROW()-2)/8)+1)</f>
        <v>4</v>
      </c>
      <c r="D508" t="str" cm="1">
        <f t="array" ref="D508">INDEX(salesmonthly!$B$1:$I$1, MOD(ROW()-2,8)+1)</f>
        <v>N02BA</v>
      </c>
      <c r="E508" cm="1">
        <f t="array" ref="E508">INDEX(salesmonthly!$B$2:$I$5000, INT((ROW()-2)/8)+1, MOD(ROW()-2,8)+1)</f>
        <v>88.1</v>
      </c>
    </row>
    <row r="509" spans="1:5" x14ac:dyDescent="0.35">
      <c r="A509" s="1" cm="1">
        <f t="array" ref="A509">INDEX(salesmonthly!$A$2:$A$5000, INT((ROW()-2)/8)+1)</f>
        <v>43585</v>
      </c>
      <c r="B509" cm="1">
        <f t="array" ref="B509">INDEX(salesmonthly!$J$2:$J$5000, INT((ROW()-2)/8)+1)</f>
        <v>2019</v>
      </c>
      <c r="C509" cm="1">
        <f t="array" ref="C509">INDEX(salesmonthly!$K$2:$K$5000, INT((ROW()-2)/8)+1)</f>
        <v>4</v>
      </c>
      <c r="D509" t="str" cm="1">
        <f t="array" ref="D509">INDEX(salesmonthly!$B$1:$I$1, MOD(ROW()-2,8)+1)</f>
        <v>N02BE</v>
      </c>
      <c r="E509" t="str" cm="1">
        <f t="array" ref="E509">INDEX(salesmonthly!$B$2:$I$5000, INT((ROW()-2)/8)+1, MOD(ROW()-2,8)+1)</f>
        <v>647.6500000000002</v>
      </c>
    </row>
    <row r="510" spans="1:5" x14ac:dyDescent="0.35">
      <c r="A510" s="1" cm="1">
        <f t="array" ref="A510">INDEX(salesmonthly!$A$2:$A$5000, INT((ROW()-2)/8)+1)</f>
        <v>43585</v>
      </c>
      <c r="B510" cm="1">
        <f t="array" ref="B510">INDEX(salesmonthly!$J$2:$J$5000, INT((ROW()-2)/8)+1)</f>
        <v>2019</v>
      </c>
      <c r="C510" cm="1">
        <f t="array" ref="C510">INDEX(salesmonthly!$K$2:$K$5000, INT((ROW()-2)/8)+1)</f>
        <v>4</v>
      </c>
      <c r="D510" t="str" cm="1">
        <f t="array" ref="D510">INDEX(salesmonthly!$B$1:$I$1, MOD(ROW()-2,8)+1)</f>
        <v>N05B</v>
      </c>
      <c r="E510" cm="1">
        <f t="array" ref="E510">INDEX(salesmonthly!$B$2:$I$5000, INT((ROW()-2)/8)+1, MOD(ROW()-2,8)+1)</f>
        <v>299.39999999999998</v>
      </c>
    </row>
    <row r="511" spans="1:5" x14ac:dyDescent="0.35">
      <c r="A511" s="1" cm="1">
        <f t="array" ref="A511">INDEX(salesmonthly!$A$2:$A$5000, INT((ROW()-2)/8)+1)</f>
        <v>43585</v>
      </c>
      <c r="B511" cm="1">
        <f t="array" ref="B511">INDEX(salesmonthly!$J$2:$J$5000, INT((ROW()-2)/8)+1)</f>
        <v>2019</v>
      </c>
      <c r="C511" cm="1">
        <f t="array" ref="C511">INDEX(salesmonthly!$K$2:$K$5000, INT((ROW()-2)/8)+1)</f>
        <v>4</v>
      </c>
      <c r="D511" t="str" cm="1">
        <f t="array" ref="D511">INDEX(salesmonthly!$B$1:$I$1, MOD(ROW()-2,8)+1)</f>
        <v>N05C</v>
      </c>
      <c r="E511" cm="1">
        <f t="array" ref="E511">INDEX(salesmonthly!$B$2:$I$5000, INT((ROW()-2)/8)+1, MOD(ROW()-2,8)+1)</f>
        <v>22</v>
      </c>
    </row>
    <row r="512" spans="1:5" x14ac:dyDescent="0.35">
      <c r="A512" s="1" cm="1">
        <f t="array" ref="A512">INDEX(salesmonthly!$A$2:$A$5000, INT((ROW()-2)/8)+1)</f>
        <v>43585</v>
      </c>
      <c r="B512" cm="1">
        <f t="array" ref="B512">INDEX(salesmonthly!$J$2:$J$5000, INT((ROW()-2)/8)+1)</f>
        <v>2019</v>
      </c>
      <c r="C512" cm="1">
        <f t="array" ref="C512">INDEX(salesmonthly!$K$2:$K$5000, INT((ROW()-2)/8)+1)</f>
        <v>4</v>
      </c>
      <c r="D512" t="str" cm="1">
        <f t="array" ref="D512">INDEX(salesmonthly!$B$1:$I$1, MOD(ROW()-2,8)+1)</f>
        <v>R03</v>
      </c>
      <c r="E512" cm="1">
        <f t="array" ref="E512">INDEX(salesmonthly!$B$2:$I$5000, INT((ROW()-2)/8)+1, MOD(ROW()-2,8)+1)</f>
        <v>259</v>
      </c>
    </row>
    <row r="513" spans="1:5" x14ac:dyDescent="0.35">
      <c r="A513" s="1" cm="1">
        <f t="array" ref="A513">INDEX(salesmonthly!$A$2:$A$5000, INT((ROW()-2)/8)+1)</f>
        <v>43585</v>
      </c>
      <c r="B513" cm="1">
        <f t="array" ref="B513">INDEX(salesmonthly!$J$2:$J$5000, INT((ROW()-2)/8)+1)</f>
        <v>2019</v>
      </c>
      <c r="C513" cm="1">
        <f t="array" ref="C513">INDEX(salesmonthly!$K$2:$K$5000, INT((ROW()-2)/8)+1)</f>
        <v>4</v>
      </c>
      <c r="D513" t="str" cm="1">
        <f t="array" ref="D513">INDEX(salesmonthly!$B$1:$I$1, MOD(ROW()-2,8)+1)</f>
        <v>R06</v>
      </c>
      <c r="E513" t="str" cm="1">
        <f t="array" ref="E513">INDEX(salesmonthly!$B$2:$I$5000, INT((ROW()-2)/8)+1, MOD(ROW()-2,8)+1)</f>
        <v>179.10000000000002</v>
      </c>
    </row>
    <row r="514" spans="1:5" x14ac:dyDescent="0.35">
      <c r="A514" s="1" cm="1">
        <f t="array" ref="A514">INDEX(salesmonthly!$A$2:$A$5000, INT((ROW()-2)/8)+1)</f>
        <v>43616</v>
      </c>
      <c r="B514" cm="1">
        <f t="array" ref="B514">INDEX(salesmonthly!$J$2:$J$5000, INT((ROW()-2)/8)+1)</f>
        <v>2019</v>
      </c>
      <c r="C514" cm="1">
        <f t="array" ref="C514">INDEX(salesmonthly!$K$2:$K$5000, INT((ROW()-2)/8)+1)</f>
        <v>5</v>
      </c>
      <c r="D514" t="str" cm="1">
        <f t="array" ref="D514">INDEX(salesmonthly!$B$1:$I$1, MOD(ROW()-2,8)+1)</f>
        <v>M01AB</v>
      </c>
      <c r="E514" t="str" cm="1">
        <f t="array" ref="E514">INDEX(salesmonthly!$B$2:$I$5000, INT((ROW()-2)/8)+1, MOD(ROW()-2,8)+1)</f>
        <v>168.04000000000005</v>
      </c>
    </row>
    <row r="515" spans="1:5" x14ac:dyDescent="0.35">
      <c r="A515" s="1" cm="1">
        <f t="array" ref="A515">INDEX(salesmonthly!$A$2:$A$5000, INT((ROW()-2)/8)+1)</f>
        <v>43616</v>
      </c>
      <c r="B515" cm="1">
        <f t="array" ref="B515">INDEX(salesmonthly!$J$2:$J$5000, INT((ROW()-2)/8)+1)</f>
        <v>2019</v>
      </c>
      <c r="C515" cm="1">
        <f t="array" ref="C515">INDEX(salesmonthly!$K$2:$K$5000, INT((ROW()-2)/8)+1)</f>
        <v>5</v>
      </c>
      <c r="D515" t="str" cm="1">
        <f t="array" ref="D515">INDEX(salesmonthly!$B$1:$I$1, MOD(ROW()-2,8)+1)</f>
        <v>M01AE</v>
      </c>
      <c r="E515" t="str" cm="1">
        <f t="array" ref="E515">INDEX(salesmonthly!$B$2:$I$5000, INT((ROW()-2)/8)+1, MOD(ROW()-2,8)+1)</f>
        <v>97.25800000000004</v>
      </c>
    </row>
    <row r="516" spans="1:5" x14ac:dyDescent="0.35">
      <c r="A516" s="1" cm="1">
        <f t="array" ref="A516">INDEX(salesmonthly!$A$2:$A$5000, INT((ROW()-2)/8)+1)</f>
        <v>43616</v>
      </c>
      <c r="B516" cm="1">
        <f t="array" ref="B516">INDEX(salesmonthly!$J$2:$J$5000, INT((ROW()-2)/8)+1)</f>
        <v>2019</v>
      </c>
      <c r="C516" cm="1">
        <f t="array" ref="C516">INDEX(salesmonthly!$K$2:$K$5000, INT((ROW()-2)/8)+1)</f>
        <v>5</v>
      </c>
      <c r="D516" t="str" cm="1">
        <f t="array" ref="D516">INDEX(salesmonthly!$B$1:$I$1, MOD(ROW()-2,8)+1)</f>
        <v>N02BA</v>
      </c>
      <c r="E516" cm="1">
        <f t="array" ref="E516">INDEX(salesmonthly!$B$2:$I$5000, INT((ROW()-2)/8)+1, MOD(ROW()-2,8)+1)</f>
        <v>104.1</v>
      </c>
    </row>
    <row r="517" spans="1:5" x14ac:dyDescent="0.35">
      <c r="A517" s="1" cm="1">
        <f t="array" ref="A517">INDEX(salesmonthly!$A$2:$A$5000, INT((ROW()-2)/8)+1)</f>
        <v>43616</v>
      </c>
      <c r="B517" cm="1">
        <f t="array" ref="B517">INDEX(salesmonthly!$J$2:$J$5000, INT((ROW()-2)/8)+1)</f>
        <v>2019</v>
      </c>
      <c r="C517" cm="1">
        <f t="array" ref="C517">INDEX(salesmonthly!$K$2:$K$5000, INT((ROW()-2)/8)+1)</f>
        <v>5</v>
      </c>
      <c r="D517" t="str" cm="1">
        <f t="array" ref="D517">INDEX(salesmonthly!$B$1:$I$1, MOD(ROW()-2,8)+1)</f>
        <v>N02BE</v>
      </c>
      <c r="E517" t="str" cm="1">
        <f t="array" ref="E517">INDEX(salesmonthly!$B$2:$I$5000, INT((ROW()-2)/8)+1, MOD(ROW()-2,8)+1)</f>
        <v>703.5620000000001</v>
      </c>
    </row>
    <row r="518" spans="1:5" x14ac:dyDescent="0.35">
      <c r="A518" s="1" cm="1">
        <f t="array" ref="A518">INDEX(salesmonthly!$A$2:$A$5000, INT((ROW()-2)/8)+1)</f>
        <v>43616</v>
      </c>
      <c r="B518" cm="1">
        <f t="array" ref="B518">INDEX(salesmonthly!$J$2:$J$5000, INT((ROW()-2)/8)+1)</f>
        <v>2019</v>
      </c>
      <c r="C518" cm="1">
        <f t="array" ref="C518">INDEX(salesmonthly!$K$2:$K$5000, INT((ROW()-2)/8)+1)</f>
        <v>5</v>
      </c>
      <c r="D518" t="str" cm="1">
        <f t="array" ref="D518">INDEX(salesmonthly!$B$1:$I$1, MOD(ROW()-2,8)+1)</f>
        <v>N05B</v>
      </c>
      <c r="E518" t="str" cm="1">
        <f t="array" ref="E518">INDEX(salesmonthly!$B$2:$I$5000, INT((ROW()-2)/8)+1, MOD(ROW()-2,8)+1)</f>
        <v>265.79999999999995</v>
      </c>
    </row>
    <row r="519" spans="1:5" x14ac:dyDescent="0.35">
      <c r="A519" s="1" cm="1">
        <f t="array" ref="A519">INDEX(salesmonthly!$A$2:$A$5000, INT((ROW()-2)/8)+1)</f>
        <v>43616</v>
      </c>
      <c r="B519" cm="1">
        <f t="array" ref="B519">INDEX(salesmonthly!$J$2:$J$5000, INT((ROW()-2)/8)+1)</f>
        <v>2019</v>
      </c>
      <c r="C519" cm="1">
        <f t="array" ref="C519">INDEX(salesmonthly!$K$2:$K$5000, INT((ROW()-2)/8)+1)</f>
        <v>5</v>
      </c>
      <c r="D519" t="str" cm="1">
        <f t="array" ref="D519">INDEX(salesmonthly!$B$1:$I$1, MOD(ROW()-2,8)+1)</f>
        <v>N05C</v>
      </c>
      <c r="E519" cm="1">
        <f t="array" ref="E519">INDEX(salesmonthly!$B$2:$I$5000, INT((ROW()-2)/8)+1, MOD(ROW()-2,8)+1)</f>
        <v>26</v>
      </c>
    </row>
    <row r="520" spans="1:5" x14ac:dyDescent="0.35">
      <c r="A520" s="1" cm="1">
        <f t="array" ref="A520">INDEX(salesmonthly!$A$2:$A$5000, INT((ROW()-2)/8)+1)</f>
        <v>43616</v>
      </c>
      <c r="B520" cm="1">
        <f t="array" ref="B520">INDEX(salesmonthly!$J$2:$J$5000, INT((ROW()-2)/8)+1)</f>
        <v>2019</v>
      </c>
      <c r="C520" cm="1">
        <f t="array" ref="C520">INDEX(salesmonthly!$K$2:$K$5000, INT((ROW()-2)/8)+1)</f>
        <v>5</v>
      </c>
      <c r="D520" t="str" cm="1">
        <f t="array" ref="D520">INDEX(salesmonthly!$B$1:$I$1, MOD(ROW()-2,8)+1)</f>
        <v>R03</v>
      </c>
      <c r="E520" cm="1">
        <f t="array" ref="E520">INDEX(salesmonthly!$B$2:$I$5000, INT((ROW()-2)/8)+1, MOD(ROW()-2,8)+1)</f>
        <v>322</v>
      </c>
    </row>
    <row r="521" spans="1:5" x14ac:dyDescent="0.35">
      <c r="A521" s="1" cm="1">
        <f t="array" ref="A521">INDEX(salesmonthly!$A$2:$A$5000, INT((ROW()-2)/8)+1)</f>
        <v>43616</v>
      </c>
      <c r="B521" cm="1">
        <f t="array" ref="B521">INDEX(salesmonthly!$J$2:$J$5000, INT((ROW()-2)/8)+1)</f>
        <v>2019</v>
      </c>
      <c r="C521" cm="1">
        <f t="array" ref="C521">INDEX(salesmonthly!$K$2:$K$5000, INT((ROW()-2)/8)+1)</f>
        <v>5</v>
      </c>
      <c r="D521" t="str" cm="1">
        <f t="array" ref="D521">INDEX(salesmonthly!$B$1:$I$1, MOD(ROW()-2,8)+1)</f>
        <v>R06</v>
      </c>
      <c r="E521" cm="1">
        <f t="array" ref="E521">INDEX(salesmonthly!$B$2:$I$5000, INT((ROW()-2)/8)+1, MOD(ROW()-2,8)+1)</f>
        <v>135.4</v>
      </c>
    </row>
    <row r="522" spans="1:5" x14ac:dyDescent="0.35">
      <c r="A522" s="1" cm="1">
        <f t="array" ref="A522">INDEX(salesmonthly!$A$2:$A$5000, INT((ROW()-2)/8)+1)</f>
        <v>43646</v>
      </c>
      <c r="B522" cm="1">
        <f t="array" ref="B522">INDEX(salesmonthly!$J$2:$J$5000, INT((ROW()-2)/8)+1)</f>
        <v>2019</v>
      </c>
      <c r="C522" cm="1">
        <f t="array" ref="C522">INDEX(salesmonthly!$K$2:$K$5000, INT((ROW()-2)/8)+1)</f>
        <v>6</v>
      </c>
      <c r="D522" t="str" cm="1">
        <f t="array" ref="D522">INDEX(salesmonthly!$B$1:$I$1, MOD(ROW()-2,8)+1)</f>
        <v>M01AB</v>
      </c>
      <c r="E522" t="str" cm="1">
        <f t="array" ref="E522">INDEX(salesmonthly!$B$2:$I$5000, INT((ROW()-2)/8)+1, MOD(ROW()-2,8)+1)</f>
        <v>151.5400000000001</v>
      </c>
    </row>
    <row r="523" spans="1:5" x14ac:dyDescent="0.35">
      <c r="A523" s="1" cm="1">
        <f t="array" ref="A523">INDEX(salesmonthly!$A$2:$A$5000, INT((ROW()-2)/8)+1)</f>
        <v>43646</v>
      </c>
      <c r="B523" cm="1">
        <f t="array" ref="B523">INDEX(salesmonthly!$J$2:$J$5000, INT((ROW()-2)/8)+1)</f>
        <v>2019</v>
      </c>
      <c r="C523" cm="1">
        <f t="array" ref="C523">INDEX(salesmonthly!$K$2:$K$5000, INT((ROW()-2)/8)+1)</f>
        <v>6</v>
      </c>
      <c r="D523" t="str" cm="1">
        <f t="array" ref="D523">INDEX(salesmonthly!$B$1:$I$1, MOD(ROW()-2,8)+1)</f>
        <v>M01AE</v>
      </c>
      <c r="E523" t="str" cm="1">
        <f t="array" ref="E523">INDEX(salesmonthly!$B$2:$I$5000, INT((ROW()-2)/8)+1, MOD(ROW()-2,8)+1)</f>
        <v>101.62700000000005</v>
      </c>
    </row>
    <row r="524" spans="1:5" x14ac:dyDescent="0.35">
      <c r="A524" s="1" cm="1">
        <f t="array" ref="A524">INDEX(salesmonthly!$A$2:$A$5000, INT((ROW()-2)/8)+1)</f>
        <v>43646</v>
      </c>
      <c r="B524" cm="1">
        <f t="array" ref="B524">INDEX(salesmonthly!$J$2:$J$5000, INT((ROW()-2)/8)+1)</f>
        <v>2019</v>
      </c>
      <c r="C524" cm="1">
        <f t="array" ref="C524">INDEX(salesmonthly!$K$2:$K$5000, INT((ROW()-2)/8)+1)</f>
        <v>6</v>
      </c>
      <c r="D524" t="str" cm="1">
        <f t="array" ref="D524">INDEX(salesmonthly!$B$1:$I$1, MOD(ROW()-2,8)+1)</f>
        <v>N02BA</v>
      </c>
      <c r="E524" cm="1">
        <f t="array" ref="E524">INDEX(salesmonthly!$B$2:$I$5000, INT((ROW()-2)/8)+1, MOD(ROW()-2,8)+1)</f>
        <v>103.2</v>
      </c>
    </row>
    <row r="525" spans="1:5" x14ac:dyDescent="0.35">
      <c r="A525" s="1" cm="1">
        <f t="array" ref="A525">INDEX(salesmonthly!$A$2:$A$5000, INT((ROW()-2)/8)+1)</f>
        <v>43646</v>
      </c>
      <c r="B525" cm="1">
        <f t="array" ref="B525">INDEX(salesmonthly!$J$2:$J$5000, INT((ROW()-2)/8)+1)</f>
        <v>2019</v>
      </c>
      <c r="C525" cm="1">
        <f t="array" ref="C525">INDEX(salesmonthly!$K$2:$K$5000, INT((ROW()-2)/8)+1)</f>
        <v>6</v>
      </c>
      <c r="D525" t="str" cm="1">
        <f t="array" ref="D525">INDEX(salesmonthly!$B$1:$I$1, MOD(ROW()-2,8)+1)</f>
        <v>N02BE</v>
      </c>
      <c r="E525" t="str" cm="1">
        <f t="array" ref="E525">INDEX(salesmonthly!$B$2:$I$5000, INT((ROW()-2)/8)+1, MOD(ROW()-2,8)+1)</f>
        <v>609.9999999999999</v>
      </c>
    </row>
    <row r="526" spans="1:5" x14ac:dyDescent="0.35">
      <c r="A526" s="1" cm="1">
        <f t="array" ref="A526">INDEX(salesmonthly!$A$2:$A$5000, INT((ROW()-2)/8)+1)</f>
        <v>43646</v>
      </c>
      <c r="B526" cm="1">
        <f t="array" ref="B526">INDEX(salesmonthly!$J$2:$J$5000, INT((ROW()-2)/8)+1)</f>
        <v>2019</v>
      </c>
      <c r="C526" cm="1">
        <f t="array" ref="C526">INDEX(salesmonthly!$K$2:$K$5000, INT((ROW()-2)/8)+1)</f>
        <v>6</v>
      </c>
      <c r="D526" t="str" cm="1">
        <f t="array" ref="D526">INDEX(salesmonthly!$B$1:$I$1, MOD(ROW()-2,8)+1)</f>
        <v>N05B</v>
      </c>
      <c r="E526" cm="1">
        <f t="array" ref="E526">INDEX(salesmonthly!$B$2:$I$5000, INT((ROW()-2)/8)+1, MOD(ROW()-2,8)+1)</f>
        <v>193</v>
      </c>
    </row>
    <row r="527" spans="1:5" x14ac:dyDescent="0.35">
      <c r="A527" s="1" cm="1">
        <f t="array" ref="A527">INDEX(salesmonthly!$A$2:$A$5000, INT((ROW()-2)/8)+1)</f>
        <v>43646</v>
      </c>
      <c r="B527" cm="1">
        <f t="array" ref="B527">INDEX(salesmonthly!$J$2:$J$5000, INT((ROW()-2)/8)+1)</f>
        <v>2019</v>
      </c>
      <c r="C527" cm="1">
        <f t="array" ref="C527">INDEX(salesmonthly!$K$2:$K$5000, INT((ROW()-2)/8)+1)</f>
        <v>6</v>
      </c>
      <c r="D527" t="str" cm="1">
        <f t="array" ref="D527">INDEX(salesmonthly!$B$1:$I$1, MOD(ROW()-2,8)+1)</f>
        <v>N05C</v>
      </c>
      <c r="E527" cm="1">
        <f t="array" ref="E527">INDEX(salesmonthly!$B$2:$I$5000, INT((ROW()-2)/8)+1, MOD(ROW()-2,8)+1)</f>
        <v>25</v>
      </c>
    </row>
    <row r="528" spans="1:5" x14ac:dyDescent="0.35">
      <c r="A528" s="1" cm="1">
        <f t="array" ref="A528">INDEX(salesmonthly!$A$2:$A$5000, INT((ROW()-2)/8)+1)</f>
        <v>43646</v>
      </c>
      <c r="B528" cm="1">
        <f t="array" ref="B528">INDEX(salesmonthly!$J$2:$J$5000, INT((ROW()-2)/8)+1)</f>
        <v>2019</v>
      </c>
      <c r="C528" cm="1">
        <f t="array" ref="C528">INDEX(salesmonthly!$K$2:$K$5000, INT((ROW()-2)/8)+1)</f>
        <v>6</v>
      </c>
      <c r="D528" t="str" cm="1">
        <f t="array" ref="D528">INDEX(salesmonthly!$B$1:$I$1, MOD(ROW()-2,8)+1)</f>
        <v>R03</v>
      </c>
      <c r="E528" cm="1">
        <f t="array" ref="E528">INDEX(salesmonthly!$B$2:$I$5000, INT((ROW()-2)/8)+1, MOD(ROW()-2,8)+1)</f>
        <v>142</v>
      </c>
    </row>
    <row r="529" spans="1:5" x14ac:dyDescent="0.35">
      <c r="A529" s="1" cm="1">
        <f t="array" ref="A529">INDEX(salesmonthly!$A$2:$A$5000, INT((ROW()-2)/8)+1)</f>
        <v>43646</v>
      </c>
      <c r="B529" cm="1">
        <f t="array" ref="B529">INDEX(salesmonthly!$J$2:$J$5000, INT((ROW()-2)/8)+1)</f>
        <v>2019</v>
      </c>
      <c r="C529" cm="1">
        <f t="array" ref="C529">INDEX(salesmonthly!$K$2:$K$5000, INT((ROW()-2)/8)+1)</f>
        <v>6</v>
      </c>
      <c r="D529" t="str" cm="1">
        <f t="array" ref="D529">INDEX(salesmonthly!$B$1:$I$1, MOD(ROW()-2,8)+1)</f>
        <v>R06</v>
      </c>
      <c r="E529" cm="1">
        <f t="array" ref="E529">INDEX(salesmonthly!$B$2:$I$5000, INT((ROW()-2)/8)+1, MOD(ROW()-2,8)+1)</f>
        <v>156.04</v>
      </c>
    </row>
    <row r="530" spans="1:5" x14ac:dyDescent="0.35">
      <c r="A530" s="1" cm="1">
        <f t="array" ref="A530">INDEX(salesmonthly!$A$2:$A$5000, INT((ROW()-2)/8)+1)</f>
        <v>43677</v>
      </c>
      <c r="B530" cm="1">
        <f t="array" ref="B530">INDEX(salesmonthly!$J$2:$J$5000, INT((ROW()-2)/8)+1)</f>
        <v>2019</v>
      </c>
      <c r="C530" cm="1">
        <f t="array" ref="C530">INDEX(salesmonthly!$K$2:$K$5000, INT((ROW()-2)/8)+1)</f>
        <v>7</v>
      </c>
      <c r="D530" t="str" cm="1">
        <f t="array" ref="D530">INDEX(salesmonthly!$B$1:$I$1, MOD(ROW()-2,8)+1)</f>
        <v>M01AB</v>
      </c>
      <c r="E530" cm="1">
        <f t="array" ref="E530">INDEX(salesmonthly!$B$2:$I$5000, INT((ROW()-2)/8)+1, MOD(ROW()-2,8)+1)</f>
        <v>181</v>
      </c>
    </row>
    <row r="531" spans="1:5" x14ac:dyDescent="0.35">
      <c r="A531" s="1" cm="1">
        <f t="array" ref="A531">INDEX(salesmonthly!$A$2:$A$5000, INT((ROW()-2)/8)+1)</f>
        <v>43677</v>
      </c>
      <c r="B531" cm="1">
        <f t="array" ref="B531">INDEX(salesmonthly!$J$2:$J$5000, INT((ROW()-2)/8)+1)</f>
        <v>2019</v>
      </c>
      <c r="C531" cm="1">
        <f t="array" ref="C531">INDEX(salesmonthly!$K$2:$K$5000, INT((ROW()-2)/8)+1)</f>
        <v>7</v>
      </c>
      <c r="D531" t="str" cm="1">
        <f t="array" ref="D531">INDEX(salesmonthly!$B$1:$I$1, MOD(ROW()-2,8)+1)</f>
        <v>M01AE</v>
      </c>
      <c r="E531" t="str" cm="1">
        <f t="array" ref="E531">INDEX(salesmonthly!$B$2:$I$5000, INT((ROW()-2)/8)+1, MOD(ROW()-2,8)+1)</f>
        <v>103.54100000000005</v>
      </c>
    </row>
    <row r="532" spans="1:5" x14ac:dyDescent="0.35">
      <c r="A532" s="1" cm="1">
        <f t="array" ref="A532">INDEX(salesmonthly!$A$2:$A$5000, INT((ROW()-2)/8)+1)</f>
        <v>43677</v>
      </c>
      <c r="B532" cm="1">
        <f t="array" ref="B532">INDEX(salesmonthly!$J$2:$J$5000, INT((ROW()-2)/8)+1)</f>
        <v>2019</v>
      </c>
      <c r="C532" cm="1">
        <f t="array" ref="C532">INDEX(salesmonthly!$K$2:$K$5000, INT((ROW()-2)/8)+1)</f>
        <v>7</v>
      </c>
      <c r="D532" t="str" cm="1">
        <f t="array" ref="D532">INDEX(salesmonthly!$B$1:$I$1, MOD(ROW()-2,8)+1)</f>
        <v>N02BA</v>
      </c>
      <c r="E532" cm="1">
        <f t="array" ref="E532">INDEX(salesmonthly!$B$2:$I$5000, INT((ROW()-2)/8)+1, MOD(ROW()-2,8)+1)</f>
        <v>92.8</v>
      </c>
    </row>
    <row r="533" spans="1:5" x14ac:dyDescent="0.35">
      <c r="A533" s="1" cm="1">
        <f t="array" ref="A533">INDEX(salesmonthly!$A$2:$A$5000, INT((ROW()-2)/8)+1)</f>
        <v>43677</v>
      </c>
      <c r="B533" cm="1">
        <f t="array" ref="B533">INDEX(salesmonthly!$J$2:$J$5000, INT((ROW()-2)/8)+1)</f>
        <v>2019</v>
      </c>
      <c r="C533" cm="1">
        <f t="array" ref="C533">INDEX(salesmonthly!$K$2:$K$5000, INT((ROW()-2)/8)+1)</f>
        <v>7</v>
      </c>
      <c r="D533" t="str" cm="1">
        <f t="array" ref="D533">INDEX(salesmonthly!$B$1:$I$1, MOD(ROW()-2,8)+1)</f>
        <v>N02BE</v>
      </c>
      <c r="E533" cm="1">
        <f t="array" ref="E533">INDEX(salesmonthly!$B$2:$I$5000, INT((ROW()-2)/8)+1, MOD(ROW()-2,8)+1)</f>
        <v>649.79999999999995</v>
      </c>
    </row>
    <row r="534" spans="1:5" x14ac:dyDescent="0.35">
      <c r="A534" s="1" cm="1">
        <f t="array" ref="A534">INDEX(salesmonthly!$A$2:$A$5000, INT((ROW()-2)/8)+1)</f>
        <v>43677</v>
      </c>
      <c r="B534" cm="1">
        <f t="array" ref="B534">INDEX(salesmonthly!$J$2:$J$5000, INT((ROW()-2)/8)+1)</f>
        <v>2019</v>
      </c>
      <c r="C534" cm="1">
        <f t="array" ref="C534">INDEX(salesmonthly!$K$2:$K$5000, INT((ROW()-2)/8)+1)</f>
        <v>7</v>
      </c>
      <c r="D534" t="str" cm="1">
        <f t="array" ref="D534">INDEX(salesmonthly!$B$1:$I$1, MOD(ROW()-2,8)+1)</f>
        <v>N05B</v>
      </c>
      <c r="E534" t="str" cm="1">
        <f t="array" ref="E534">INDEX(salesmonthly!$B$2:$I$5000, INT((ROW()-2)/8)+1, MOD(ROW()-2,8)+1)</f>
        <v>250.60000000000002</v>
      </c>
    </row>
    <row r="535" spans="1:5" x14ac:dyDescent="0.35">
      <c r="A535" s="1" cm="1">
        <f t="array" ref="A535">INDEX(salesmonthly!$A$2:$A$5000, INT((ROW()-2)/8)+1)</f>
        <v>43677</v>
      </c>
      <c r="B535" cm="1">
        <f t="array" ref="B535">INDEX(salesmonthly!$J$2:$J$5000, INT((ROW()-2)/8)+1)</f>
        <v>2019</v>
      </c>
      <c r="C535" cm="1">
        <f t="array" ref="C535">INDEX(salesmonthly!$K$2:$K$5000, INT((ROW()-2)/8)+1)</f>
        <v>7</v>
      </c>
      <c r="D535" t="str" cm="1">
        <f t="array" ref="D535">INDEX(salesmonthly!$B$1:$I$1, MOD(ROW()-2,8)+1)</f>
        <v>N05C</v>
      </c>
      <c r="E535" cm="1">
        <f t="array" ref="E535">INDEX(salesmonthly!$B$2:$I$5000, INT((ROW()-2)/8)+1, MOD(ROW()-2,8)+1)</f>
        <v>20</v>
      </c>
    </row>
    <row r="536" spans="1:5" x14ac:dyDescent="0.35">
      <c r="A536" s="1" cm="1">
        <f t="array" ref="A536">INDEX(salesmonthly!$A$2:$A$5000, INT((ROW()-2)/8)+1)</f>
        <v>43677</v>
      </c>
      <c r="B536" cm="1">
        <f t="array" ref="B536">INDEX(salesmonthly!$J$2:$J$5000, INT((ROW()-2)/8)+1)</f>
        <v>2019</v>
      </c>
      <c r="C536" cm="1">
        <f t="array" ref="C536">INDEX(salesmonthly!$K$2:$K$5000, INT((ROW()-2)/8)+1)</f>
        <v>7</v>
      </c>
      <c r="D536" t="str" cm="1">
        <f t="array" ref="D536">INDEX(salesmonthly!$B$1:$I$1, MOD(ROW()-2,8)+1)</f>
        <v>R03</v>
      </c>
      <c r="E536" cm="1">
        <f t="array" ref="E536">INDEX(salesmonthly!$B$2:$I$5000, INT((ROW()-2)/8)+1, MOD(ROW()-2,8)+1)</f>
        <v>115</v>
      </c>
    </row>
    <row r="537" spans="1:5" x14ac:dyDescent="0.35">
      <c r="A537" s="1" cm="1">
        <f t="array" ref="A537">INDEX(salesmonthly!$A$2:$A$5000, INT((ROW()-2)/8)+1)</f>
        <v>43677</v>
      </c>
      <c r="B537" cm="1">
        <f t="array" ref="B537">INDEX(salesmonthly!$J$2:$J$5000, INT((ROW()-2)/8)+1)</f>
        <v>2019</v>
      </c>
      <c r="C537" cm="1">
        <f t="array" ref="C537">INDEX(salesmonthly!$K$2:$K$5000, INT((ROW()-2)/8)+1)</f>
        <v>7</v>
      </c>
      <c r="D537" t="str" cm="1">
        <f t="array" ref="D537">INDEX(salesmonthly!$B$1:$I$1, MOD(ROW()-2,8)+1)</f>
        <v>R06</v>
      </c>
      <c r="E537" cm="1">
        <f t="array" ref="E537">INDEX(salesmonthly!$B$2:$I$5000, INT((ROW()-2)/8)+1, MOD(ROW()-2,8)+1)</f>
        <v>105.2</v>
      </c>
    </row>
    <row r="538" spans="1:5" x14ac:dyDescent="0.35">
      <c r="A538" s="1" cm="1">
        <f t="array" ref="A538">INDEX(salesmonthly!$A$2:$A$5000, INT((ROW()-2)/8)+1)</f>
        <v>43708</v>
      </c>
      <c r="B538" cm="1">
        <f t="array" ref="B538">INDEX(salesmonthly!$J$2:$J$5000, INT((ROW()-2)/8)+1)</f>
        <v>2019</v>
      </c>
      <c r="C538" cm="1">
        <f t="array" ref="C538">INDEX(salesmonthly!$K$2:$K$5000, INT((ROW()-2)/8)+1)</f>
        <v>8</v>
      </c>
      <c r="D538" t="str" cm="1">
        <f t="array" ref="D538">INDEX(salesmonthly!$B$1:$I$1, MOD(ROW()-2,8)+1)</f>
        <v>M01AB</v>
      </c>
      <c r="E538" t="str" cm="1">
        <f t="array" ref="E538">INDEX(salesmonthly!$B$2:$I$5000, INT((ROW()-2)/8)+1, MOD(ROW()-2,8)+1)</f>
        <v>181.91000000000008</v>
      </c>
    </row>
    <row r="539" spans="1:5" x14ac:dyDescent="0.35">
      <c r="A539" s="1" cm="1">
        <f t="array" ref="A539">INDEX(salesmonthly!$A$2:$A$5000, INT((ROW()-2)/8)+1)</f>
        <v>43708</v>
      </c>
      <c r="B539" cm="1">
        <f t="array" ref="B539">INDEX(salesmonthly!$J$2:$J$5000, INT((ROW()-2)/8)+1)</f>
        <v>2019</v>
      </c>
      <c r="C539" cm="1">
        <f t="array" ref="C539">INDEX(salesmonthly!$K$2:$K$5000, INT((ROW()-2)/8)+1)</f>
        <v>8</v>
      </c>
      <c r="D539" t="str" cm="1">
        <f t="array" ref="D539">INDEX(salesmonthly!$B$1:$I$1, MOD(ROW()-2,8)+1)</f>
        <v>M01AE</v>
      </c>
      <c r="E539" t="str" cm="1">
        <f t="array" ref="E539">INDEX(salesmonthly!$B$2:$I$5000, INT((ROW()-2)/8)+1, MOD(ROW()-2,8)+1)</f>
        <v>88.26900000000003</v>
      </c>
    </row>
    <row r="540" spans="1:5" x14ac:dyDescent="0.35">
      <c r="A540" s="1" cm="1">
        <f t="array" ref="A540">INDEX(salesmonthly!$A$2:$A$5000, INT((ROW()-2)/8)+1)</f>
        <v>43708</v>
      </c>
      <c r="B540" cm="1">
        <f t="array" ref="B540">INDEX(salesmonthly!$J$2:$J$5000, INT((ROW()-2)/8)+1)</f>
        <v>2019</v>
      </c>
      <c r="C540" cm="1">
        <f t="array" ref="C540">INDEX(salesmonthly!$K$2:$K$5000, INT((ROW()-2)/8)+1)</f>
        <v>8</v>
      </c>
      <c r="D540" t="str" cm="1">
        <f t="array" ref="D540">INDEX(salesmonthly!$B$1:$I$1, MOD(ROW()-2,8)+1)</f>
        <v>N02BA</v>
      </c>
      <c r="E540" t="str" cm="1">
        <f t="array" ref="E540">INDEX(salesmonthly!$B$2:$I$5000, INT((ROW()-2)/8)+1, MOD(ROW()-2,8)+1)</f>
        <v>84.19999999999999</v>
      </c>
    </row>
    <row r="541" spans="1:5" x14ac:dyDescent="0.35">
      <c r="A541" s="1" cm="1">
        <f t="array" ref="A541">INDEX(salesmonthly!$A$2:$A$5000, INT((ROW()-2)/8)+1)</f>
        <v>43708</v>
      </c>
      <c r="B541" cm="1">
        <f t="array" ref="B541">INDEX(salesmonthly!$J$2:$J$5000, INT((ROW()-2)/8)+1)</f>
        <v>2019</v>
      </c>
      <c r="C541" cm="1">
        <f t="array" ref="C541">INDEX(salesmonthly!$K$2:$K$5000, INT((ROW()-2)/8)+1)</f>
        <v>8</v>
      </c>
      <c r="D541" t="str" cm="1">
        <f t="array" ref="D541">INDEX(salesmonthly!$B$1:$I$1, MOD(ROW()-2,8)+1)</f>
        <v>N02BE</v>
      </c>
      <c r="E541" t="str" cm="1">
        <f t="array" ref="E541">INDEX(salesmonthly!$B$2:$I$5000, INT((ROW()-2)/8)+1, MOD(ROW()-2,8)+1)</f>
        <v>518.0999999999999</v>
      </c>
    </row>
    <row r="542" spans="1:5" x14ac:dyDescent="0.35">
      <c r="A542" s="1" cm="1">
        <f t="array" ref="A542">INDEX(salesmonthly!$A$2:$A$5000, INT((ROW()-2)/8)+1)</f>
        <v>43708</v>
      </c>
      <c r="B542" cm="1">
        <f t="array" ref="B542">INDEX(salesmonthly!$J$2:$J$5000, INT((ROW()-2)/8)+1)</f>
        <v>2019</v>
      </c>
      <c r="C542" cm="1">
        <f t="array" ref="C542">INDEX(salesmonthly!$K$2:$K$5000, INT((ROW()-2)/8)+1)</f>
        <v>8</v>
      </c>
      <c r="D542" t="str" cm="1">
        <f t="array" ref="D542">INDEX(salesmonthly!$B$1:$I$1, MOD(ROW()-2,8)+1)</f>
        <v>N05B</v>
      </c>
      <c r="E542" cm="1">
        <f t="array" ref="E542">INDEX(salesmonthly!$B$2:$I$5000, INT((ROW()-2)/8)+1, MOD(ROW()-2,8)+1)</f>
        <v>237</v>
      </c>
    </row>
    <row r="543" spans="1:5" x14ac:dyDescent="0.35">
      <c r="A543" s="1" cm="1">
        <f t="array" ref="A543">INDEX(salesmonthly!$A$2:$A$5000, INT((ROW()-2)/8)+1)</f>
        <v>43708</v>
      </c>
      <c r="B543" cm="1">
        <f t="array" ref="B543">INDEX(salesmonthly!$J$2:$J$5000, INT((ROW()-2)/8)+1)</f>
        <v>2019</v>
      </c>
      <c r="C543" cm="1">
        <f t="array" ref="C543">INDEX(salesmonthly!$K$2:$K$5000, INT((ROW()-2)/8)+1)</f>
        <v>8</v>
      </c>
      <c r="D543" t="str" cm="1">
        <f t="array" ref="D543">INDEX(salesmonthly!$B$1:$I$1, MOD(ROW()-2,8)+1)</f>
        <v>N05C</v>
      </c>
      <c r="E543" cm="1">
        <f t="array" ref="E543">INDEX(salesmonthly!$B$2:$I$5000, INT((ROW()-2)/8)+1, MOD(ROW()-2,8)+1)</f>
        <v>26</v>
      </c>
    </row>
    <row r="544" spans="1:5" x14ac:dyDescent="0.35">
      <c r="A544" s="1" cm="1">
        <f t="array" ref="A544">INDEX(salesmonthly!$A$2:$A$5000, INT((ROW()-2)/8)+1)</f>
        <v>43708</v>
      </c>
      <c r="B544" cm="1">
        <f t="array" ref="B544">INDEX(salesmonthly!$J$2:$J$5000, INT((ROW()-2)/8)+1)</f>
        <v>2019</v>
      </c>
      <c r="C544" cm="1">
        <f t="array" ref="C544">INDEX(salesmonthly!$K$2:$K$5000, INT((ROW()-2)/8)+1)</f>
        <v>8</v>
      </c>
      <c r="D544" t="str" cm="1">
        <f t="array" ref="D544">INDEX(salesmonthly!$B$1:$I$1, MOD(ROW()-2,8)+1)</f>
        <v>R03</v>
      </c>
      <c r="E544" cm="1">
        <f t="array" ref="E544">INDEX(salesmonthly!$B$2:$I$5000, INT((ROW()-2)/8)+1, MOD(ROW()-2,8)+1)</f>
        <v>145</v>
      </c>
    </row>
    <row r="545" spans="1:5" x14ac:dyDescent="0.35">
      <c r="A545" s="1" cm="1">
        <f t="array" ref="A545">INDEX(salesmonthly!$A$2:$A$5000, INT((ROW()-2)/8)+1)</f>
        <v>43708</v>
      </c>
      <c r="B545" cm="1">
        <f t="array" ref="B545">INDEX(salesmonthly!$J$2:$J$5000, INT((ROW()-2)/8)+1)</f>
        <v>2019</v>
      </c>
      <c r="C545" cm="1">
        <f t="array" ref="C545">INDEX(salesmonthly!$K$2:$K$5000, INT((ROW()-2)/8)+1)</f>
        <v>8</v>
      </c>
      <c r="D545" t="str" cm="1">
        <f t="array" ref="D545">INDEX(salesmonthly!$B$1:$I$1, MOD(ROW()-2,8)+1)</f>
        <v>R06</v>
      </c>
      <c r="E545" cm="1">
        <f t="array" ref="E545">INDEX(salesmonthly!$B$2:$I$5000, INT((ROW()-2)/8)+1, MOD(ROW()-2,8)+1)</f>
        <v>97.3</v>
      </c>
    </row>
    <row r="546" spans="1:5" x14ac:dyDescent="0.35">
      <c r="A546" s="1" cm="1">
        <f t="array" ref="A546">INDEX(salesmonthly!$A$2:$A$5000, INT((ROW()-2)/8)+1)</f>
        <v>43738</v>
      </c>
      <c r="B546" cm="1">
        <f t="array" ref="B546">INDEX(salesmonthly!$J$2:$J$5000, INT((ROW()-2)/8)+1)</f>
        <v>2019</v>
      </c>
      <c r="C546" cm="1">
        <f t="array" ref="C546">INDEX(salesmonthly!$K$2:$K$5000, INT((ROW()-2)/8)+1)</f>
        <v>9</v>
      </c>
      <c r="D546" t="str" cm="1">
        <f t="array" ref="D546">INDEX(salesmonthly!$B$1:$I$1, MOD(ROW()-2,8)+1)</f>
        <v>M01AB</v>
      </c>
      <c r="E546" t="str" cm="1">
        <f t="array" ref="E546">INDEX(salesmonthly!$B$2:$I$5000, INT((ROW()-2)/8)+1, MOD(ROW()-2,8)+1)</f>
        <v>161.07000000000005</v>
      </c>
    </row>
    <row r="547" spans="1:5" x14ac:dyDescent="0.35">
      <c r="A547" s="1" cm="1">
        <f t="array" ref="A547">INDEX(salesmonthly!$A$2:$A$5000, INT((ROW()-2)/8)+1)</f>
        <v>43738</v>
      </c>
      <c r="B547" cm="1">
        <f t="array" ref="B547">INDEX(salesmonthly!$J$2:$J$5000, INT((ROW()-2)/8)+1)</f>
        <v>2019</v>
      </c>
      <c r="C547" cm="1">
        <f t="array" ref="C547">INDEX(salesmonthly!$K$2:$K$5000, INT((ROW()-2)/8)+1)</f>
        <v>9</v>
      </c>
      <c r="D547" t="str" cm="1">
        <f t="array" ref="D547">INDEX(salesmonthly!$B$1:$I$1, MOD(ROW()-2,8)+1)</f>
        <v>M01AE</v>
      </c>
      <c r="E547" t="str" cm="1">
        <f t="array" ref="E547">INDEX(salesmonthly!$B$2:$I$5000, INT((ROW()-2)/8)+1, MOD(ROW()-2,8)+1)</f>
        <v>111.43700000000007</v>
      </c>
    </row>
    <row r="548" spans="1:5" x14ac:dyDescent="0.35">
      <c r="A548" s="1" cm="1">
        <f t="array" ref="A548">INDEX(salesmonthly!$A$2:$A$5000, INT((ROW()-2)/8)+1)</f>
        <v>43738</v>
      </c>
      <c r="B548" cm="1">
        <f t="array" ref="B548">INDEX(salesmonthly!$J$2:$J$5000, INT((ROW()-2)/8)+1)</f>
        <v>2019</v>
      </c>
      <c r="C548" cm="1">
        <f t="array" ref="C548">INDEX(salesmonthly!$K$2:$K$5000, INT((ROW()-2)/8)+1)</f>
        <v>9</v>
      </c>
      <c r="D548" t="str" cm="1">
        <f t="array" ref="D548">INDEX(salesmonthly!$B$1:$I$1, MOD(ROW()-2,8)+1)</f>
        <v>N02BA</v>
      </c>
      <c r="E548" t="str" cm="1">
        <f t="array" ref="E548">INDEX(salesmonthly!$B$2:$I$5000, INT((ROW()-2)/8)+1, MOD(ROW()-2,8)+1)</f>
        <v>93.49999999999999</v>
      </c>
    </row>
    <row r="549" spans="1:5" x14ac:dyDescent="0.35">
      <c r="A549" s="1" cm="1">
        <f t="array" ref="A549">INDEX(salesmonthly!$A$2:$A$5000, INT((ROW()-2)/8)+1)</f>
        <v>43738</v>
      </c>
      <c r="B549" cm="1">
        <f t="array" ref="B549">INDEX(salesmonthly!$J$2:$J$5000, INT((ROW()-2)/8)+1)</f>
        <v>2019</v>
      </c>
      <c r="C549" cm="1">
        <f t="array" ref="C549">INDEX(salesmonthly!$K$2:$K$5000, INT((ROW()-2)/8)+1)</f>
        <v>9</v>
      </c>
      <c r="D549" t="str" cm="1">
        <f t="array" ref="D549">INDEX(salesmonthly!$B$1:$I$1, MOD(ROW()-2,8)+1)</f>
        <v>N02BE</v>
      </c>
      <c r="E549" t="str" cm="1">
        <f t="array" ref="E549">INDEX(salesmonthly!$B$2:$I$5000, INT((ROW()-2)/8)+1, MOD(ROW()-2,8)+1)</f>
        <v>984.4799999999999</v>
      </c>
    </row>
    <row r="550" spans="1:5" x14ac:dyDescent="0.35">
      <c r="A550" s="1" cm="1">
        <f t="array" ref="A550">INDEX(salesmonthly!$A$2:$A$5000, INT((ROW()-2)/8)+1)</f>
        <v>43738</v>
      </c>
      <c r="B550" cm="1">
        <f t="array" ref="B550">INDEX(salesmonthly!$J$2:$J$5000, INT((ROW()-2)/8)+1)</f>
        <v>2019</v>
      </c>
      <c r="C550" cm="1">
        <f t="array" ref="C550">INDEX(salesmonthly!$K$2:$K$5000, INT((ROW()-2)/8)+1)</f>
        <v>9</v>
      </c>
      <c r="D550" t="str" cm="1">
        <f t="array" ref="D550">INDEX(salesmonthly!$B$1:$I$1, MOD(ROW()-2,8)+1)</f>
        <v>N05B</v>
      </c>
      <c r="E550" t="str" cm="1">
        <f t="array" ref="E550">INDEX(salesmonthly!$B$2:$I$5000, INT((ROW()-2)/8)+1, MOD(ROW()-2,8)+1)</f>
        <v>227.79999999999998</v>
      </c>
    </row>
    <row r="551" spans="1:5" x14ac:dyDescent="0.35">
      <c r="A551" s="1" cm="1">
        <f t="array" ref="A551">INDEX(salesmonthly!$A$2:$A$5000, INT((ROW()-2)/8)+1)</f>
        <v>43738</v>
      </c>
      <c r="B551" cm="1">
        <f t="array" ref="B551">INDEX(salesmonthly!$J$2:$J$5000, INT((ROW()-2)/8)+1)</f>
        <v>2019</v>
      </c>
      <c r="C551" cm="1">
        <f t="array" ref="C551">INDEX(salesmonthly!$K$2:$K$5000, INT((ROW()-2)/8)+1)</f>
        <v>9</v>
      </c>
      <c r="D551" t="str" cm="1">
        <f t="array" ref="D551">INDEX(salesmonthly!$B$1:$I$1, MOD(ROW()-2,8)+1)</f>
        <v>N05C</v>
      </c>
      <c r="E551" cm="1">
        <f t="array" ref="E551">INDEX(salesmonthly!$B$2:$I$5000, INT((ROW()-2)/8)+1, MOD(ROW()-2,8)+1)</f>
        <v>16</v>
      </c>
    </row>
    <row r="552" spans="1:5" x14ac:dyDescent="0.35">
      <c r="A552" s="1" cm="1">
        <f t="array" ref="A552">INDEX(salesmonthly!$A$2:$A$5000, INT((ROW()-2)/8)+1)</f>
        <v>43738</v>
      </c>
      <c r="B552" cm="1">
        <f t="array" ref="B552">INDEX(salesmonthly!$J$2:$J$5000, INT((ROW()-2)/8)+1)</f>
        <v>2019</v>
      </c>
      <c r="C552" cm="1">
        <f t="array" ref="C552">INDEX(salesmonthly!$K$2:$K$5000, INT((ROW()-2)/8)+1)</f>
        <v>9</v>
      </c>
      <c r="D552" t="str" cm="1">
        <f t="array" ref="D552">INDEX(salesmonthly!$B$1:$I$1, MOD(ROW()-2,8)+1)</f>
        <v>R03</v>
      </c>
      <c r="E552" cm="1">
        <f t="array" ref="E552">INDEX(salesmonthly!$B$2:$I$5000, INT((ROW()-2)/8)+1, MOD(ROW()-2,8)+1)</f>
        <v>161</v>
      </c>
    </row>
    <row r="553" spans="1:5" x14ac:dyDescent="0.35">
      <c r="A553" s="1" cm="1">
        <f t="array" ref="A553">INDEX(salesmonthly!$A$2:$A$5000, INT((ROW()-2)/8)+1)</f>
        <v>43738</v>
      </c>
      <c r="B553" cm="1">
        <f t="array" ref="B553">INDEX(salesmonthly!$J$2:$J$5000, INT((ROW()-2)/8)+1)</f>
        <v>2019</v>
      </c>
      <c r="C553" cm="1">
        <f t="array" ref="C553">INDEX(salesmonthly!$K$2:$K$5000, INT((ROW()-2)/8)+1)</f>
        <v>9</v>
      </c>
      <c r="D553" t="str" cm="1">
        <f t="array" ref="D553">INDEX(salesmonthly!$B$1:$I$1, MOD(ROW()-2,8)+1)</f>
        <v>R06</v>
      </c>
      <c r="E553" cm="1">
        <f t="array" ref="E553">INDEX(salesmonthly!$B$2:$I$5000, INT((ROW()-2)/8)+1, MOD(ROW()-2,8)+1)</f>
        <v>109.1</v>
      </c>
    </row>
    <row r="554" spans="1:5" x14ac:dyDescent="0.35">
      <c r="A554" s="1" cm="1">
        <f t="array" ref="A554">INDEX(salesmonthly!$A$2:$A$5000, INT((ROW()-2)/8)+1)</f>
        <v>43769</v>
      </c>
      <c r="B554" cm="1">
        <f t="array" ref="B554">INDEX(salesmonthly!$J$2:$J$5000, INT((ROW()-2)/8)+1)</f>
        <v>2019</v>
      </c>
      <c r="C554" cm="1">
        <f t="array" ref="C554">INDEX(salesmonthly!$K$2:$K$5000, INT((ROW()-2)/8)+1)</f>
        <v>10</v>
      </c>
      <c r="D554" t="str" cm="1">
        <f t="array" ref="D554">INDEX(salesmonthly!$B$1:$I$1, MOD(ROW()-2,8)+1)</f>
        <v>M01AB</v>
      </c>
      <c r="E554" t="str" cm="1">
        <f t="array" ref="E554">INDEX(salesmonthly!$B$2:$I$5000, INT((ROW()-2)/8)+1, MOD(ROW()-2,8)+1)</f>
        <v>44.370000000000005</v>
      </c>
    </row>
    <row r="555" spans="1:5" x14ac:dyDescent="0.35">
      <c r="A555" s="1" cm="1">
        <f t="array" ref="A555">INDEX(salesmonthly!$A$2:$A$5000, INT((ROW()-2)/8)+1)</f>
        <v>43769</v>
      </c>
      <c r="B555" cm="1">
        <f t="array" ref="B555">INDEX(salesmonthly!$J$2:$J$5000, INT((ROW()-2)/8)+1)</f>
        <v>2019</v>
      </c>
      <c r="C555" cm="1">
        <f t="array" ref="C555">INDEX(salesmonthly!$K$2:$K$5000, INT((ROW()-2)/8)+1)</f>
        <v>10</v>
      </c>
      <c r="D555" t="str" cm="1">
        <f t="array" ref="D555">INDEX(salesmonthly!$B$1:$I$1, MOD(ROW()-2,8)+1)</f>
        <v>M01AE</v>
      </c>
      <c r="E555" cm="1">
        <f t="array" ref="E555">INDEX(salesmonthly!$B$2:$I$5000, INT((ROW()-2)/8)+1, MOD(ROW()-2,8)+1)</f>
        <v>37.299999999999997</v>
      </c>
    </row>
    <row r="556" spans="1:5" x14ac:dyDescent="0.35">
      <c r="A556" s="1" cm="1">
        <f t="array" ref="A556">INDEX(salesmonthly!$A$2:$A$5000, INT((ROW()-2)/8)+1)</f>
        <v>43769</v>
      </c>
      <c r="B556" cm="1">
        <f t="array" ref="B556">INDEX(salesmonthly!$J$2:$J$5000, INT((ROW()-2)/8)+1)</f>
        <v>2019</v>
      </c>
      <c r="C556" cm="1">
        <f t="array" ref="C556">INDEX(salesmonthly!$K$2:$K$5000, INT((ROW()-2)/8)+1)</f>
        <v>10</v>
      </c>
      <c r="D556" t="str" cm="1">
        <f t="array" ref="D556">INDEX(salesmonthly!$B$1:$I$1, MOD(ROW()-2,8)+1)</f>
        <v>N02BA</v>
      </c>
      <c r="E556" cm="1">
        <f t="array" ref="E556">INDEX(salesmonthly!$B$2:$I$5000, INT((ROW()-2)/8)+1, MOD(ROW()-2,8)+1)</f>
        <v>20.65</v>
      </c>
    </row>
    <row r="557" spans="1:5" x14ac:dyDescent="0.35">
      <c r="A557" s="1" cm="1">
        <f t="array" ref="A557">INDEX(salesmonthly!$A$2:$A$5000, INT((ROW()-2)/8)+1)</f>
        <v>43769</v>
      </c>
      <c r="B557" cm="1">
        <f t="array" ref="B557">INDEX(salesmonthly!$J$2:$J$5000, INT((ROW()-2)/8)+1)</f>
        <v>2019</v>
      </c>
      <c r="C557" cm="1">
        <f t="array" ref="C557">INDEX(salesmonthly!$K$2:$K$5000, INT((ROW()-2)/8)+1)</f>
        <v>10</v>
      </c>
      <c r="D557" t="str" cm="1">
        <f t="array" ref="D557">INDEX(salesmonthly!$B$1:$I$1, MOD(ROW()-2,8)+1)</f>
        <v>N02BE</v>
      </c>
      <c r="E557" t="str" cm="1">
        <f t="array" ref="E557">INDEX(salesmonthly!$B$2:$I$5000, INT((ROW()-2)/8)+1, MOD(ROW()-2,8)+1)</f>
        <v>295.15000000000003</v>
      </c>
    </row>
    <row r="558" spans="1:5" x14ac:dyDescent="0.35">
      <c r="A558" s="1" cm="1">
        <f t="array" ref="A558">INDEX(salesmonthly!$A$2:$A$5000, INT((ROW()-2)/8)+1)</f>
        <v>43769</v>
      </c>
      <c r="B558" cm="1">
        <f t="array" ref="B558">INDEX(salesmonthly!$J$2:$J$5000, INT((ROW()-2)/8)+1)</f>
        <v>2019</v>
      </c>
      <c r="C558" cm="1">
        <f t="array" ref="C558">INDEX(salesmonthly!$K$2:$K$5000, INT((ROW()-2)/8)+1)</f>
        <v>10</v>
      </c>
      <c r="D558" t="str" cm="1">
        <f t="array" ref="D558">INDEX(salesmonthly!$B$1:$I$1, MOD(ROW()-2,8)+1)</f>
        <v>N05B</v>
      </c>
      <c r="E558" cm="1">
        <f t="array" ref="E558">INDEX(salesmonthly!$B$2:$I$5000, INT((ROW()-2)/8)+1, MOD(ROW()-2,8)+1)</f>
        <v>86</v>
      </c>
    </row>
    <row r="559" spans="1:5" x14ac:dyDescent="0.35">
      <c r="A559" s="1" cm="1">
        <f t="array" ref="A559">INDEX(salesmonthly!$A$2:$A$5000, INT((ROW()-2)/8)+1)</f>
        <v>43769</v>
      </c>
      <c r="B559" cm="1">
        <f t="array" ref="B559">INDEX(salesmonthly!$J$2:$J$5000, INT((ROW()-2)/8)+1)</f>
        <v>2019</v>
      </c>
      <c r="C559" cm="1">
        <f t="array" ref="C559">INDEX(salesmonthly!$K$2:$K$5000, INT((ROW()-2)/8)+1)</f>
        <v>10</v>
      </c>
      <c r="D559" t="str" cm="1">
        <f t="array" ref="D559">INDEX(salesmonthly!$B$1:$I$1, MOD(ROW()-2,8)+1)</f>
        <v>N05C</v>
      </c>
      <c r="E559" cm="1">
        <f t="array" ref="E559">INDEX(salesmonthly!$B$2:$I$5000, INT((ROW()-2)/8)+1, MOD(ROW()-2,8)+1)</f>
        <v>7</v>
      </c>
    </row>
    <row r="560" spans="1:5" x14ac:dyDescent="0.35">
      <c r="A560" s="1" cm="1">
        <f t="array" ref="A560">INDEX(salesmonthly!$A$2:$A$5000, INT((ROW()-2)/8)+1)</f>
        <v>43769</v>
      </c>
      <c r="B560" cm="1">
        <f t="array" ref="B560">INDEX(salesmonthly!$J$2:$J$5000, INT((ROW()-2)/8)+1)</f>
        <v>2019</v>
      </c>
      <c r="C560" cm="1">
        <f t="array" ref="C560">INDEX(salesmonthly!$K$2:$K$5000, INT((ROW()-2)/8)+1)</f>
        <v>10</v>
      </c>
      <c r="D560" t="str" cm="1">
        <f t="array" ref="D560">INDEX(salesmonthly!$B$1:$I$1, MOD(ROW()-2,8)+1)</f>
        <v>R03</v>
      </c>
      <c r="E560" cm="1">
        <f t="array" ref="E560">INDEX(salesmonthly!$B$2:$I$5000, INT((ROW()-2)/8)+1, MOD(ROW()-2,8)+1)</f>
        <v>37</v>
      </c>
    </row>
    <row r="561" spans="1:5" x14ac:dyDescent="0.35">
      <c r="A561" s="1" cm="1">
        <f t="array" ref="A561">INDEX(salesmonthly!$A$2:$A$5000, INT((ROW()-2)/8)+1)</f>
        <v>43769</v>
      </c>
      <c r="B561" cm="1">
        <f t="array" ref="B561">INDEX(salesmonthly!$J$2:$J$5000, INT((ROW()-2)/8)+1)</f>
        <v>2019</v>
      </c>
      <c r="C561" cm="1">
        <f t="array" ref="C561">INDEX(salesmonthly!$K$2:$K$5000, INT((ROW()-2)/8)+1)</f>
        <v>10</v>
      </c>
      <c r="D561" t="str" cm="1">
        <f t="array" ref="D561">INDEX(salesmonthly!$B$1:$I$1, MOD(ROW()-2,8)+1)</f>
        <v>R06</v>
      </c>
      <c r="E561" t="str" cm="1">
        <f t="array" ref="E561">INDEX(salesmonthly!$B$2:$I$5000, INT((ROW()-2)/8)+1, MOD(ROW()-2,8)+1)</f>
        <v>11.129999999999999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E761-E993-49A3-99B2-EBCBF4C8E0C2}">
  <dimension ref="A1:G561"/>
  <sheetViews>
    <sheetView topLeftCell="A539" workbookViewId="0">
      <selection activeCell="G2" sqref="G2:G561"/>
    </sheetView>
  </sheetViews>
  <sheetFormatPr defaultRowHeight="14.5" x14ac:dyDescent="0.35"/>
  <sheetData>
    <row r="1" spans="1:7" x14ac:dyDescent="0.35">
      <c r="A1" t="s">
        <v>226</v>
      </c>
      <c r="B1" t="s">
        <v>227</v>
      </c>
      <c r="C1" t="s">
        <v>228</v>
      </c>
      <c r="D1" t="s">
        <v>230</v>
      </c>
      <c r="E1" t="s">
        <v>231</v>
      </c>
      <c r="F1" t="s">
        <v>232</v>
      </c>
      <c r="G1" t="s">
        <v>306</v>
      </c>
    </row>
    <row r="2" spans="1:7" x14ac:dyDescent="0.35">
      <c r="A2">
        <v>2014</v>
      </c>
      <c r="B2">
        <v>1</v>
      </c>
      <c r="C2" t="s">
        <v>1</v>
      </c>
      <c r="D2">
        <f>SUMIFS(
  fact_sales_monthly!$E:$E,
  fact_sales_monthly!$B:$B, A2,
  fact_sales_monthly!$C:$C, B2,
  fact_sales_monthly!$D:$D, C2
)</f>
        <v>0</v>
      </c>
      <c r="E2">
        <f>D2 * 1</f>
        <v>0</v>
      </c>
      <c r="F2">
        <f>D2 * 0.25</f>
        <v>0</v>
      </c>
      <c r="G2" t="str">
        <f>TEXT(DATE(A2, B2, 1), "yyyy-mm")</f>
        <v>2014-01</v>
      </c>
    </row>
    <row r="3" spans="1:7" x14ac:dyDescent="0.35">
      <c r="A3">
        <v>2014</v>
      </c>
      <c r="B3">
        <v>1</v>
      </c>
      <c r="C3" t="s">
        <v>2</v>
      </c>
      <c r="D3">
        <f>SUMIFS(
  fact_sales_monthly!$E:$E,
  fact_sales_monthly!$B:$B, A3,
  fact_sales_monthly!$C:$C, B3,
  fact_sales_monthly!$D:$D, C3
)</f>
        <v>0</v>
      </c>
      <c r="E3">
        <f t="shared" ref="E3:E66" si="0">D3 * 1</f>
        <v>0</v>
      </c>
      <c r="F3">
        <f t="shared" ref="F3:F66" si="1">D3 * 0.25</f>
        <v>0</v>
      </c>
      <c r="G3" t="str">
        <f t="shared" ref="G3:G66" si="2">TEXT(DATE(A3, B3, 1), "yyyy-mm")</f>
        <v>2014-01</v>
      </c>
    </row>
    <row r="4" spans="1:7" x14ac:dyDescent="0.35">
      <c r="A4">
        <v>2014</v>
      </c>
      <c r="B4">
        <v>1</v>
      </c>
      <c r="C4" t="s">
        <v>3</v>
      </c>
      <c r="D4">
        <f>SUMIFS(
  fact_sales_monthly!$E:$E,
  fact_sales_monthly!$B:$B, A4,
  fact_sales_monthly!$C:$C, B4,
  fact_sales_monthly!$D:$D, C4
)</f>
        <v>0</v>
      </c>
      <c r="E4">
        <f t="shared" si="0"/>
        <v>0</v>
      </c>
      <c r="F4">
        <f t="shared" si="1"/>
        <v>0</v>
      </c>
      <c r="G4" t="str">
        <f t="shared" si="2"/>
        <v>2014-01</v>
      </c>
    </row>
    <row r="5" spans="1:7" x14ac:dyDescent="0.35">
      <c r="A5">
        <v>2014</v>
      </c>
      <c r="B5">
        <v>1</v>
      </c>
      <c r="C5" t="s">
        <v>4</v>
      </c>
      <c r="D5">
        <f>SUMIFS(
  fact_sales_monthly!$E:$E,
  fact_sales_monthly!$B:$B, A5,
  fact_sales_monthly!$C:$C, B5,
  fact_sales_monthly!$D:$D, C5
)</f>
        <v>0</v>
      </c>
      <c r="E5">
        <f t="shared" si="0"/>
        <v>0</v>
      </c>
      <c r="F5">
        <f t="shared" si="1"/>
        <v>0</v>
      </c>
      <c r="G5" t="str">
        <f t="shared" si="2"/>
        <v>2014-01</v>
      </c>
    </row>
    <row r="6" spans="1:7" x14ac:dyDescent="0.35">
      <c r="A6">
        <v>2014</v>
      </c>
      <c r="B6">
        <v>1</v>
      </c>
      <c r="C6" t="s">
        <v>5</v>
      </c>
      <c r="D6">
        <f>SUMIFS(
  fact_sales_monthly!$E:$E,
  fact_sales_monthly!$B:$B, A6,
  fact_sales_monthly!$C:$C, B6,
  fact_sales_monthly!$D:$D, C6
)</f>
        <v>354</v>
      </c>
      <c r="E6">
        <f t="shared" si="0"/>
        <v>354</v>
      </c>
      <c r="F6">
        <f t="shared" si="1"/>
        <v>88.5</v>
      </c>
      <c r="G6" t="str">
        <f t="shared" si="2"/>
        <v>2014-01</v>
      </c>
    </row>
    <row r="7" spans="1:7" x14ac:dyDescent="0.35">
      <c r="A7">
        <v>2014</v>
      </c>
      <c r="B7">
        <v>1</v>
      </c>
      <c r="C7" t="s">
        <v>6</v>
      </c>
      <c r="D7">
        <f>SUMIFS(
  fact_sales_monthly!$E:$E,
  fact_sales_monthly!$B:$B, A7,
  fact_sales_monthly!$C:$C, B7,
  fact_sales_monthly!$D:$D, C7
)</f>
        <v>50</v>
      </c>
      <c r="E7">
        <f t="shared" si="0"/>
        <v>50</v>
      </c>
      <c r="F7">
        <f t="shared" si="1"/>
        <v>12.5</v>
      </c>
      <c r="G7" t="str">
        <f t="shared" si="2"/>
        <v>2014-01</v>
      </c>
    </row>
    <row r="8" spans="1:7" x14ac:dyDescent="0.35">
      <c r="A8">
        <v>2014</v>
      </c>
      <c r="B8">
        <v>1</v>
      </c>
      <c r="C8" t="s">
        <v>7</v>
      </c>
      <c r="D8">
        <f>SUMIFS(
  fact_sales_monthly!$E:$E,
  fact_sales_monthly!$B:$B, A8,
  fact_sales_monthly!$C:$C, B8,
  fact_sales_monthly!$D:$D, C8
)</f>
        <v>112</v>
      </c>
      <c r="E8">
        <f t="shared" si="0"/>
        <v>112</v>
      </c>
      <c r="F8">
        <f t="shared" si="1"/>
        <v>28</v>
      </c>
      <c r="G8" t="str">
        <f t="shared" si="2"/>
        <v>2014-01</v>
      </c>
    </row>
    <row r="9" spans="1:7" x14ac:dyDescent="0.35">
      <c r="A9">
        <v>2014</v>
      </c>
      <c r="B9">
        <v>1</v>
      </c>
      <c r="C9" t="s">
        <v>8</v>
      </c>
      <c r="D9">
        <f>SUMIFS(
  fact_sales_monthly!$E:$E,
  fact_sales_monthly!$B:$B, A9,
  fact_sales_monthly!$C:$C, B9,
  fact_sales_monthly!$D:$D, C9
)</f>
        <v>48.2</v>
      </c>
      <c r="E9">
        <f t="shared" si="0"/>
        <v>48.2</v>
      </c>
      <c r="F9">
        <f t="shared" si="1"/>
        <v>12.05</v>
      </c>
      <c r="G9" t="str">
        <f t="shared" si="2"/>
        <v>2014-01</v>
      </c>
    </row>
    <row r="10" spans="1:7" x14ac:dyDescent="0.35">
      <c r="A10">
        <v>2014</v>
      </c>
      <c r="B10">
        <v>2</v>
      </c>
      <c r="C10" t="s">
        <v>1</v>
      </c>
      <c r="D10">
        <f>SUMIFS(
  fact_sales_monthly!$E:$E,
  fact_sales_monthly!$B:$B, A10,
  fact_sales_monthly!$C:$C, B10,
  fact_sales_monthly!$D:$D, C10
)</f>
        <v>133.32</v>
      </c>
      <c r="E10">
        <f t="shared" si="0"/>
        <v>133.32</v>
      </c>
      <c r="F10">
        <f t="shared" si="1"/>
        <v>33.33</v>
      </c>
      <c r="G10" t="str">
        <f t="shared" si="2"/>
        <v>2014-02</v>
      </c>
    </row>
    <row r="11" spans="1:7" x14ac:dyDescent="0.35">
      <c r="A11">
        <v>2014</v>
      </c>
      <c r="B11">
        <v>2</v>
      </c>
      <c r="C11" t="s">
        <v>2</v>
      </c>
      <c r="D11">
        <f>SUMIFS(
  fact_sales_monthly!$E:$E,
  fact_sales_monthly!$B:$B, A11,
  fact_sales_monthly!$C:$C, B11,
  fact_sales_monthly!$D:$D, C11
)</f>
        <v>0</v>
      </c>
      <c r="E11">
        <f t="shared" si="0"/>
        <v>0</v>
      </c>
      <c r="F11">
        <f t="shared" si="1"/>
        <v>0</v>
      </c>
      <c r="G11" t="str">
        <f t="shared" si="2"/>
        <v>2014-02</v>
      </c>
    </row>
    <row r="12" spans="1:7" x14ac:dyDescent="0.35">
      <c r="A12">
        <v>2014</v>
      </c>
      <c r="B12">
        <v>2</v>
      </c>
      <c r="C12" t="s">
        <v>3</v>
      </c>
      <c r="D12">
        <f>SUMIFS(
  fact_sales_monthly!$E:$E,
  fact_sales_monthly!$B:$B, A12,
  fact_sales_monthly!$C:$C, B12,
  fact_sales_monthly!$D:$D, C12
)</f>
        <v>0</v>
      </c>
      <c r="E12">
        <f t="shared" si="0"/>
        <v>0</v>
      </c>
      <c r="F12">
        <f t="shared" si="1"/>
        <v>0</v>
      </c>
      <c r="G12" t="str">
        <f t="shared" si="2"/>
        <v>2014-02</v>
      </c>
    </row>
    <row r="13" spans="1:7" x14ac:dyDescent="0.35">
      <c r="A13">
        <v>2014</v>
      </c>
      <c r="B13">
        <v>2</v>
      </c>
      <c r="C13" t="s">
        <v>4</v>
      </c>
      <c r="D13">
        <f>SUMIFS(
  fact_sales_monthly!$E:$E,
  fact_sales_monthly!$B:$B, A13,
  fact_sales_monthly!$C:$C, B13,
  fact_sales_monthly!$D:$D, C13
)</f>
        <v>0</v>
      </c>
      <c r="E13">
        <f t="shared" si="0"/>
        <v>0</v>
      </c>
      <c r="F13">
        <f t="shared" si="1"/>
        <v>0</v>
      </c>
      <c r="G13" t="str">
        <f t="shared" si="2"/>
        <v>2014-02</v>
      </c>
    </row>
    <row r="14" spans="1:7" x14ac:dyDescent="0.35">
      <c r="A14">
        <v>2014</v>
      </c>
      <c r="B14">
        <v>2</v>
      </c>
      <c r="C14" t="s">
        <v>5</v>
      </c>
      <c r="D14">
        <f>SUMIFS(
  fact_sales_monthly!$E:$E,
  fact_sales_monthly!$B:$B, A14,
  fact_sales_monthly!$C:$C, B14,
  fact_sales_monthly!$D:$D, C14
)</f>
        <v>347</v>
      </c>
      <c r="E14">
        <f t="shared" si="0"/>
        <v>347</v>
      </c>
      <c r="F14">
        <f t="shared" si="1"/>
        <v>86.75</v>
      </c>
      <c r="G14" t="str">
        <f t="shared" si="2"/>
        <v>2014-02</v>
      </c>
    </row>
    <row r="15" spans="1:7" x14ac:dyDescent="0.35">
      <c r="A15">
        <v>2014</v>
      </c>
      <c r="B15">
        <v>2</v>
      </c>
      <c r="C15" t="s">
        <v>6</v>
      </c>
      <c r="D15">
        <f>SUMIFS(
  fact_sales_monthly!$E:$E,
  fact_sales_monthly!$B:$B, A15,
  fact_sales_monthly!$C:$C, B15,
  fact_sales_monthly!$D:$D, C15
)</f>
        <v>31</v>
      </c>
      <c r="E15">
        <f t="shared" si="0"/>
        <v>31</v>
      </c>
      <c r="F15">
        <f t="shared" si="1"/>
        <v>7.75</v>
      </c>
      <c r="G15" t="str">
        <f t="shared" si="2"/>
        <v>2014-02</v>
      </c>
    </row>
    <row r="16" spans="1:7" x14ac:dyDescent="0.35">
      <c r="A16">
        <v>2014</v>
      </c>
      <c r="B16">
        <v>2</v>
      </c>
      <c r="C16" t="s">
        <v>7</v>
      </c>
      <c r="D16">
        <f>SUMIFS(
  fact_sales_monthly!$E:$E,
  fact_sales_monthly!$B:$B, A16,
  fact_sales_monthly!$C:$C, B16,
  fact_sales_monthly!$D:$D, C16
)</f>
        <v>122</v>
      </c>
      <c r="E16">
        <f t="shared" si="0"/>
        <v>122</v>
      </c>
      <c r="F16">
        <f t="shared" si="1"/>
        <v>30.5</v>
      </c>
      <c r="G16" t="str">
        <f t="shared" si="2"/>
        <v>2014-02</v>
      </c>
    </row>
    <row r="17" spans="1:7" x14ac:dyDescent="0.35">
      <c r="A17">
        <v>2014</v>
      </c>
      <c r="B17">
        <v>2</v>
      </c>
      <c r="C17" t="s">
        <v>8</v>
      </c>
      <c r="D17">
        <f>SUMIFS(
  fact_sales_monthly!$E:$E,
  fact_sales_monthly!$B:$B, A17,
  fact_sales_monthly!$C:$C, B17,
  fact_sales_monthly!$D:$D, C17
)</f>
        <v>36.200000000000003</v>
      </c>
      <c r="E17">
        <f t="shared" si="0"/>
        <v>36.200000000000003</v>
      </c>
      <c r="F17">
        <f t="shared" si="1"/>
        <v>9.0500000000000007</v>
      </c>
      <c r="G17" t="str">
        <f t="shared" si="2"/>
        <v>2014-02</v>
      </c>
    </row>
    <row r="18" spans="1:7" x14ac:dyDescent="0.35">
      <c r="A18">
        <v>2014</v>
      </c>
      <c r="B18">
        <v>3</v>
      </c>
      <c r="C18" t="s">
        <v>1</v>
      </c>
      <c r="D18">
        <f>SUMIFS(
  fact_sales_monthly!$E:$E,
  fact_sales_monthly!$B:$B, A18,
  fact_sales_monthly!$C:$C, B18,
  fact_sales_monthly!$D:$D, C18
)</f>
        <v>0</v>
      </c>
      <c r="E18">
        <f t="shared" si="0"/>
        <v>0</v>
      </c>
      <c r="F18">
        <f t="shared" si="1"/>
        <v>0</v>
      </c>
      <c r="G18" t="str">
        <f t="shared" si="2"/>
        <v>2014-03</v>
      </c>
    </row>
    <row r="19" spans="1:7" x14ac:dyDescent="0.35">
      <c r="A19">
        <v>2014</v>
      </c>
      <c r="B19">
        <v>3</v>
      </c>
      <c r="C19" t="s">
        <v>2</v>
      </c>
      <c r="D19">
        <f>SUMIFS(
  fact_sales_monthly!$E:$E,
  fact_sales_monthly!$B:$B, A19,
  fact_sales_monthly!$C:$C, B19,
  fact_sales_monthly!$D:$D, C19
)</f>
        <v>0</v>
      </c>
      <c r="E19">
        <f t="shared" si="0"/>
        <v>0</v>
      </c>
      <c r="F19">
        <f t="shared" si="1"/>
        <v>0</v>
      </c>
      <c r="G19" t="str">
        <f t="shared" si="2"/>
        <v>2014-03</v>
      </c>
    </row>
    <row r="20" spans="1:7" x14ac:dyDescent="0.35">
      <c r="A20">
        <v>2014</v>
      </c>
      <c r="B20">
        <v>3</v>
      </c>
      <c r="C20" t="s">
        <v>3</v>
      </c>
      <c r="D20">
        <f>SUMIFS(
  fact_sales_monthly!$E:$E,
  fact_sales_monthly!$B:$B, A20,
  fact_sales_monthly!$C:$C, B20,
  fact_sales_monthly!$D:$D, C20
)</f>
        <v>147.655</v>
      </c>
      <c r="E20">
        <f t="shared" si="0"/>
        <v>147.655</v>
      </c>
      <c r="F20">
        <f t="shared" si="1"/>
        <v>36.91375</v>
      </c>
      <c r="G20" t="str">
        <f t="shared" si="2"/>
        <v>2014-03</v>
      </c>
    </row>
    <row r="21" spans="1:7" x14ac:dyDescent="0.35">
      <c r="A21">
        <v>2014</v>
      </c>
      <c r="B21">
        <v>3</v>
      </c>
      <c r="C21" t="s">
        <v>4</v>
      </c>
      <c r="D21">
        <f>SUMIFS(
  fact_sales_monthly!$E:$E,
  fact_sales_monthly!$B:$B, A21,
  fact_sales_monthly!$C:$C, B21,
  fact_sales_monthly!$D:$D, C21
)</f>
        <v>779.27499999999998</v>
      </c>
      <c r="E21">
        <f t="shared" si="0"/>
        <v>779.27499999999998</v>
      </c>
      <c r="F21">
        <f t="shared" si="1"/>
        <v>194.81874999999999</v>
      </c>
      <c r="G21" t="str">
        <f t="shared" si="2"/>
        <v>2014-03</v>
      </c>
    </row>
    <row r="22" spans="1:7" x14ac:dyDescent="0.35">
      <c r="A22">
        <v>2014</v>
      </c>
      <c r="B22">
        <v>3</v>
      </c>
      <c r="C22" t="s">
        <v>5</v>
      </c>
      <c r="D22">
        <f>SUMIFS(
  fact_sales_monthly!$E:$E,
  fact_sales_monthly!$B:$B, A22,
  fact_sales_monthly!$C:$C, B22,
  fact_sales_monthly!$D:$D, C22
)</f>
        <v>232</v>
      </c>
      <c r="E22">
        <f t="shared" si="0"/>
        <v>232</v>
      </c>
      <c r="F22">
        <f t="shared" si="1"/>
        <v>58</v>
      </c>
      <c r="G22" t="str">
        <f t="shared" si="2"/>
        <v>2014-03</v>
      </c>
    </row>
    <row r="23" spans="1:7" x14ac:dyDescent="0.35">
      <c r="A23">
        <v>2014</v>
      </c>
      <c r="B23">
        <v>3</v>
      </c>
      <c r="C23" t="s">
        <v>6</v>
      </c>
      <c r="D23">
        <f>SUMIFS(
  fact_sales_monthly!$E:$E,
  fact_sales_monthly!$B:$B, A23,
  fact_sales_monthly!$C:$C, B23,
  fact_sales_monthly!$D:$D, C23
)</f>
        <v>20</v>
      </c>
      <c r="E23">
        <f t="shared" si="0"/>
        <v>20</v>
      </c>
      <c r="F23">
        <f t="shared" si="1"/>
        <v>5</v>
      </c>
      <c r="G23" t="str">
        <f t="shared" si="2"/>
        <v>2014-03</v>
      </c>
    </row>
    <row r="24" spans="1:7" x14ac:dyDescent="0.35">
      <c r="A24">
        <v>2014</v>
      </c>
      <c r="B24">
        <v>3</v>
      </c>
      <c r="C24" t="s">
        <v>7</v>
      </c>
      <c r="D24">
        <f>SUMIFS(
  fact_sales_monthly!$E:$E,
  fact_sales_monthly!$B:$B, A24,
  fact_sales_monthly!$C:$C, B24,
  fact_sales_monthly!$D:$D, C24
)</f>
        <v>112</v>
      </c>
      <c r="E24">
        <f t="shared" si="0"/>
        <v>112</v>
      </c>
      <c r="F24">
        <f t="shared" si="1"/>
        <v>28</v>
      </c>
      <c r="G24" t="str">
        <f t="shared" si="2"/>
        <v>2014-03</v>
      </c>
    </row>
    <row r="25" spans="1:7" x14ac:dyDescent="0.35">
      <c r="A25">
        <v>2014</v>
      </c>
      <c r="B25">
        <v>3</v>
      </c>
      <c r="C25" t="s">
        <v>8</v>
      </c>
      <c r="D25">
        <f>SUMIFS(
  fact_sales_monthly!$E:$E,
  fact_sales_monthly!$B:$B, A25,
  fact_sales_monthly!$C:$C, B25,
  fact_sales_monthly!$D:$D, C25
)</f>
        <v>85.4</v>
      </c>
      <c r="E25">
        <f t="shared" si="0"/>
        <v>85.4</v>
      </c>
      <c r="F25">
        <f t="shared" si="1"/>
        <v>21.35</v>
      </c>
      <c r="G25" t="str">
        <f t="shared" si="2"/>
        <v>2014-03</v>
      </c>
    </row>
    <row r="26" spans="1:7" x14ac:dyDescent="0.35">
      <c r="A26">
        <v>2014</v>
      </c>
      <c r="B26">
        <v>4</v>
      </c>
      <c r="C26" t="s">
        <v>1</v>
      </c>
      <c r="D26">
        <f>SUMIFS(
  fact_sales_monthly!$E:$E,
  fact_sales_monthly!$B:$B, A26,
  fact_sales_monthly!$C:$C, B26,
  fact_sales_monthly!$D:$D, C26
)</f>
        <v>0</v>
      </c>
      <c r="E26">
        <f t="shared" si="0"/>
        <v>0</v>
      </c>
      <c r="F26">
        <f t="shared" si="1"/>
        <v>0</v>
      </c>
      <c r="G26" t="str">
        <f t="shared" si="2"/>
        <v>2014-04</v>
      </c>
    </row>
    <row r="27" spans="1:7" x14ac:dyDescent="0.35">
      <c r="A27">
        <v>2014</v>
      </c>
      <c r="B27">
        <v>4</v>
      </c>
      <c r="C27" t="s">
        <v>2</v>
      </c>
      <c r="D27">
        <f>SUMIFS(
  fact_sales_monthly!$E:$E,
  fact_sales_monthly!$B:$B, A27,
  fact_sales_monthly!$C:$C, B27,
  fact_sales_monthly!$D:$D, C27
)</f>
        <v>0</v>
      </c>
      <c r="E27">
        <f t="shared" si="0"/>
        <v>0</v>
      </c>
      <c r="F27">
        <f t="shared" si="1"/>
        <v>0</v>
      </c>
      <c r="G27" t="str">
        <f t="shared" si="2"/>
        <v>2014-04</v>
      </c>
    </row>
    <row r="28" spans="1:7" x14ac:dyDescent="0.35">
      <c r="A28">
        <v>2014</v>
      </c>
      <c r="B28">
        <v>4</v>
      </c>
      <c r="C28" t="s">
        <v>3</v>
      </c>
      <c r="D28">
        <f>SUMIFS(
  fact_sales_monthly!$E:$E,
  fact_sales_monthly!$B:$B, A28,
  fact_sales_monthly!$C:$C, B28,
  fact_sales_monthly!$D:$D, C28
)</f>
        <v>0</v>
      </c>
      <c r="E28">
        <f t="shared" si="0"/>
        <v>0</v>
      </c>
      <c r="F28">
        <f t="shared" si="1"/>
        <v>0</v>
      </c>
      <c r="G28" t="str">
        <f t="shared" si="2"/>
        <v>2014-04</v>
      </c>
    </row>
    <row r="29" spans="1:7" x14ac:dyDescent="0.35">
      <c r="A29">
        <v>2014</v>
      </c>
      <c r="B29">
        <v>4</v>
      </c>
      <c r="C29" t="s">
        <v>4</v>
      </c>
      <c r="D29">
        <f>SUMIFS(
  fact_sales_monthly!$E:$E,
  fact_sales_monthly!$B:$B, A29,
  fact_sales_monthly!$C:$C, B29,
  fact_sales_monthly!$D:$D, C29
)</f>
        <v>698.5</v>
      </c>
      <c r="E29">
        <f t="shared" si="0"/>
        <v>698.5</v>
      </c>
      <c r="F29">
        <f t="shared" si="1"/>
        <v>174.625</v>
      </c>
      <c r="G29" t="str">
        <f t="shared" si="2"/>
        <v>2014-04</v>
      </c>
    </row>
    <row r="30" spans="1:7" x14ac:dyDescent="0.35">
      <c r="A30">
        <v>2014</v>
      </c>
      <c r="B30">
        <v>4</v>
      </c>
      <c r="C30" t="s">
        <v>5</v>
      </c>
      <c r="D30">
        <f>SUMIFS(
  fact_sales_monthly!$E:$E,
  fact_sales_monthly!$B:$B, A30,
  fact_sales_monthly!$C:$C, B30,
  fact_sales_monthly!$D:$D, C30
)</f>
        <v>209</v>
      </c>
      <c r="E30">
        <f t="shared" si="0"/>
        <v>209</v>
      </c>
      <c r="F30">
        <f t="shared" si="1"/>
        <v>52.25</v>
      </c>
      <c r="G30" t="str">
        <f t="shared" si="2"/>
        <v>2014-04</v>
      </c>
    </row>
    <row r="31" spans="1:7" x14ac:dyDescent="0.35">
      <c r="A31">
        <v>2014</v>
      </c>
      <c r="B31">
        <v>4</v>
      </c>
      <c r="C31" t="s">
        <v>6</v>
      </c>
      <c r="D31">
        <f>SUMIFS(
  fact_sales_monthly!$E:$E,
  fact_sales_monthly!$B:$B, A31,
  fact_sales_monthly!$C:$C, B31,
  fact_sales_monthly!$D:$D, C31
)</f>
        <v>18</v>
      </c>
      <c r="E31">
        <f t="shared" si="0"/>
        <v>18</v>
      </c>
      <c r="F31">
        <f t="shared" si="1"/>
        <v>4.5</v>
      </c>
      <c r="G31" t="str">
        <f t="shared" si="2"/>
        <v>2014-04</v>
      </c>
    </row>
    <row r="32" spans="1:7" x14ac:dyDescent="0.35">
      <c r="A32">
        <v>2014</v>
      </c>
      <c r="B32">
        <v>4</v>
      </c>
      <c r="C32" t="s">
        <v>7</v>
      </c>
      <c r="D32">
        <f>SUMIFS(
  fact_sales_monthly!$E:$E,
  fact_sales_monthly!$B:$B, A32,
  fact_sales_monthly!$C:$C, B32,
  fact_sales_monthly!$D:$D, C32
)</f>
        <v>97</v>
      </c>
      <c r="E32">
        <f t="shared" si="0"/>
        <v>97</v>
      </c>
      <c r="F32">
        <f t="shared" si="1"/>
        <v>24.25</v>
      </c>
      <c r="G32" t="str">
        <f t="shared" si="2"/>
        <v>2014-04</v>
      </c>
    </row>
    <row r="33" spans="1:7" x14ac:dyDescent="0.35">
      <c r="A33">
        <v>2014</v>
      </c>
      <c r="B33">
        <v>4</v>
      </c>
      <c r="C33" t="s">
        <v>8</v>
      </c>
      <c r="D33">
        <f>SUMIFS(
  fact_sales_monthly!$E:$E,
  fact_sales_monthly!$B:$B, A33,
  fact_sales_monthly!$C:$C, B33,
  fact_sales_monthly!$D:$D, C33
)</f>
        <v>73.7</v>
      </c>
      <c r="E33">
        <f t="shared" si="0"/>
        <v>73.7</v>
      </c>
      <c r="F33">
        <f t="shared" si="1"/>
        <v>18.425000000000001</v>
      </c>
      <c r="G33" t="str">
        <f t="shared" si="2"/>
        <v>2014-04</v>
      </c>
    </row>
    <row r="34" spans="1:7" x14ac:dyDescent="0.35">
      <c r="A34">
        <v>2014</v>
      </c>
      <c r="B34">
        <v>5</v>
      </c>
      <c r="C34" t="s">
        <v>1</v>
      </c>
      <c r="D34">
        <f>SUMIFS(
  fact_sales_monthly!$E:$E,
  fact_sales_monthly!$B:$B, A34,
  fact_sales_monthly!$C:$C, B34,
  fact_sales_monthly!$D:$D, C34
)</f>
        <v>0</v>
      </c>
      <c r="E34">
        <f t="shared" si="0"/>
        <v>0</v>
      </c>
      <c r="F34">
        <f t="shared" si="1"/>
        <v>0</v>
      </c>
      <c r="G34" t="str">
        <f t="shared" si="2"/>
        <v>2014-05</v>
      </c>
    </row>
    <row r="35" spans="1:7" x14ac:dyDescent="0.35">
      <c r="A35">
        <v>2014</v>
      </c>
      <c r="B35">
        <v>5</v>
      </c>
      <c r="C35" t="s">
        <v>2</v>
      </c>
      <c r="D35">
        <f>SUMIFS(
  fact_sales_monthly!$E:$E,
  fact_sales_monthly!$B:$B, A35,
  fact_sales_monthly!$C:$C, B35,
  fact_sales_monthly!$D:$D, C35
)</f>
        <v>0</v>
      </c>
      <c r="E35">
        <f t="shared" si="0"/>
        <v>0</v>
      </c>
      <c r="F35">
        <f t="shared" si="1"/>
        <v>0</v>
      </c>
      <c r="G35" t="str">
        <f t="shared" si="2"/>
        <v>2014-05</v>
      </c>
    </row>
    <row r="36" spans="1:7" x14ac:dyDescent="0.35">
      <c r="A36">
        <v>2014</v>
      </c>
      <c r="B36">
        <v>5</v>
      </c>
      <c r="C36" t="s">
        <v>3</v>
      </c>
      <c r="D36">
        <f>SUMIFS(
  fact_sales_monthly!$E:$E,
  fact_sales_monthly!$B:$B, A36,
  fact_sales_monthly!$C:$C, B36,
  fact_sales_monthly!$D:$D, C36
)</f>
        <v>132.1</v>
      </c>
      <c r="E36">
        <f t="shared" si="0"/>
        <v>132.1</v>
      </c>
      <c r="F36">
        <f t="shared" si="1"/>
        <v>33.024999999999999</v>
      </c>
      <c r="G36" t="str">
        <f t="shared" si="2"/>
        <v>2014-05</v>
      </c>
    </row>
    <row r="37" spans="1:7" x14ac:dyDescent="0.35">
      <c r="A37">
        <v>2014</v>
      </c>
      <c r="B37">
        <v>5</v>
      </c>
      <c r="C37" t="s">
        <v>4</v>
      </c>
      <c r="D37">
        <f>SUMIFS(
  fact_sales_monthly!$E:$E,
  fact_sales_monthly!$B:$B, A37,
  fact_sales_monthly!$C:$C, B37,
  fact_sales_monthly!$D:$D, C37
)</f>
        <v>0</v>
      </c>
      <c r="E37">
        <f t="shared" si="0"/>
        <v>0</v>
      </c>
      <c r="F37">
        <f t="shared" si="1"/>
        <v>0</v>
      </c>
      <c r="G37" t="str">
        <f t="shared" si="2"/>
        <v>2014-05</v>
      </c>
    </row>
    <row r="38" spans="1:7" x14ac:dyDescent="0.35">
      <c r="A38">
        <v>2014</v>
      </c>
      <c r="B38">
        <v>5</v>
      </c>
      <c r="C38" t="s">
        <v>5</v>
      </c>
      <c r="D38">
        <f>SUMIFS(
  fact_sales_monthly!$E:$E,
  fact_sales_monthly!$B:$B, A38,
  fact_sales_monthly!$C:$C, B38,
  fact_sales_monthly!$D:$D, C38
)</f>
        <v>270</v>
      </c>
      <c r="E38">
        <f t="shared" si="0"/>
        <v>270</v>
      </c>
      <c r="F38">
        <f t="shared" si="1"/>
        <v>67.5</v>
      </c>
      <c r="G38" t="str">
        <f t="shared" si="2"/>
        <v>2014-05</v>
      </c>
    </row>
    <row r="39" spans="1:7" x14ac:dyDescent="0.35">
      <c r="A39">
        <v>2014</v>
      </c>
      <c r="B39">
        <v>5</v>
      </c>
      <c r="C39" t="s">
        <v>6</v>
      </c>
      <c r="D39">
        <f>SUMIFS(
  fact_sales_monthly!$E:$E,
  fact_sales_monthly!$B:$B, A39,
  fact_sales_monthly!$C:$C, B39,
  fact_sales_monthly!$D:$D, C39
)</f>
        <v>23</v>
      </c>
      <c r="E39">
        <f t="shared" si="0"/>
        <v>23</v>
      </c>
      <c r="F39">
        <f t="shared" si="1"/>
        <v>5.75</v>
      </c>
      <c r="G39" t="str">
        <f t="shared" si="2"/>
        <v>2014-05</v>
      </c>
    </row>
    <row r="40" spans="1:7" x14ac:dyDescent="0.35">
      <c r="A40">
        <v>2014</v>
      </c>
      <c r="B40">
        <v>5</v>
      </c>
      <c r="C40" t="s">
        <v>7</v>
      </c>
      <c r="D40">
        <f>SUMIFS(
  fact_sales_monthly!$E:$E,
  fact_sales_monthly!$B:$B, A40,
  fact_sales_monthly!$C:$C, B40,
  fact_sales_monthly!$D:$D, C40
)</f>
        <v>107</v>
      </c>
      <c r="E40">
        <f t="shared" si="0"/>
        <v>107</v>
      </c>
      <c r="F40">
        <f t="shared" si="1"/>
        <v>26.75</v>
      </c>
      <c r="G40" t="str">
        <f t="shared" si="2"/>
        <v>2014-05</v>
      </c>
    </row>
    <row r="41" spans="1:7" x14ac:dyDescent="0.35">
      <c r="A41">
        <v>2014</v>
      </c>
      <c r="B41">
        <v>5</v>
      </c>
      <c r="C41" t="s">
        <v>8</v>
      </c>
      <c r="D41">
        <f>SUMIFS(
  fact_sales_monthly!$E:$E,
  fact_sales_monthly!$B:$B, A41,
  fact_sales_monthly!$C:$C, B41,
  fact_sales_monthly!$D:$D, C41
)</f>
        <v>0</v>
      </c>
      <c r="E41">
        <f t="shared" si="0"/>
        <v>0</v>
      </c>
      <c r="F41">
        <f t="shared" si="1"/>
        <v>0</v>
      </c>
      <c r="G41" t="str">
        <f t="shared" si="2"/>
        <v>2014-05</v>
      </c>
    </row>
    <row r="42" spans="1:7" x14ac:dyDescent="0.35">
      <c r="A42">
        <v>2014</v>
      </c>
      <c r="B42">
        <v>6</v>
      </c>
      <c r="C42" t="s">
        <v>1</v>
      </c>
      <c r="D42">
        <f>SUMIFS(
  fact_sales_monthly!$E:$E,
  fact_sales_monthly!$B:$B, A42,
  fact_sales_monthly!$C:$C, B42,
  fact_sales_monthly!$D:$D, C42
)</f>
        <v>0</v>
      </c>
      <c r="E42">
        <f t="shared" si="0"/>
        <v>0</v>
      </c>
      <c r="F42">
        <f t="shared" si="1"/>
        <v>0</v>
      </c>
      <c r="G42" t="str">
        <f t="shared" si="2"/>
        <v>2014-06</v>
      </c>
    </row>
    <row r="43" spans="1:7" x14ac:dyDescent="0.35">
      <c r="A43">
        <v>2014</v>
      </c>
      <c r="B43">
        <v>6</v>
      </c>
      <c r="C43" t="s">
        <v>2</v>
      </c>
      <c r="D43">
        <f>SUMIFS(
  fact_sales_monthly!$E:$E,
  fact_sales_monthly!$B:$B, A43,
  fact_sales_monthly!$C:$C, B43,
  fact_sales_monthly!$D:$D, C43
)</f>
        <v>0</v>
      </c>
      <c r="E43">
        <f t="shared" si="0"/>
        <v>0</v>
      </c>
      <c r="F43">
        <f t="shared" si="1"/>
        <v>0</v>
      </c>
      <c r="G43" t="str">
        <f t="shared" si="2"/>
        <v>2014-06</v>
      </c>
    </row>
    <row r="44" spans="1:7" x14ac:dyDescent="0.35">
      <c r="A44">
        <v>2014</v>
      </c>
      <c r="B44">
        <v>6</v>
      </c>
      <c r="C44" t="s">
        <v>3</v>
      </c>
      <c r="D44">
        <f>SUMIFS(
  fact_sales_monthly!$E:$E,
  fact_sales_monthly!$B:$B, A44,
  fact_sales_monthly!$C:$C, B44,
  fact_sales_monthly!$D:$D, C44
)</f>
        <v>122.9</v>
      </c>
      <c r="E44">
        <f t="shared" si="0"/>
        <v>122.9</v>
      </c>
      <c r="F44">
        <f t="shared" si="1"/>
        <v>30.725000000000001</v>
      </c>
      <c r="G44" t="str">
        <f t="shared" si="2"/>
        <v>2014-06</v>
      </c>
    </row>
    <row r="45" spans="1:7" x14ac:dyDescent="0.35">
      <c r="A45">
        <v>2014</v>
      </c>
      <c r="B45">
        <v>6</v>
      </c>
      <c r="C45" t="s">
        <v>4</v>
      </c>
      <c r="D45">
        <f>SUMIFS(
  fact_sales_monthly!$E:$E,
  fact_sales_monthly!$B:$B, A45,
  fact_sales_monthly!$C:$C, B45,
  fact_sales_monthly!$D:$D, C45
)</f>
        <v>548.22500000000002</v>
      </c>
      <c r="E45">
        <f t="shared" si="0"/>
        <v>548.22500000000002</v>
      </c>
      <c r="F45">
        <f t="shared" si="1"/>
        <v>137.05625000000001</v>
      </c>
      <c r="G45" t="str">
        <f t="shared" si="2"/>
        <v>2014-06</v>
      </c>
    </row>
    <row r="46" spans="1:7" x14ac:dyDescent="0.35">
      <c r="A46">
        <v>2014</v>
      </c>
      <c r="B46">
        <v>6</v>
      </c>
      <c r="C46" t="s">
        <v>5</v>
      </c>
      <c r="D46">
        <f>SUMIFS(
  fact_sales_monthly!$E:$E,
  fact_sales_monthly!$B:$B, A46,
  fact_sales_monthly!$C:$C, B46,
  fact_sales_monthly!$D:$D, C46
)</f>
        <v>323</v>
      </c>
      <c r="E46">
        <f t="shared" si="0"/>
        <v>323</v>
      </c>
      <c r="F46">
        <f t="shared" si="1"/>
        <v>80.75</v>
      </c>
      <c r="G46" t="str">
        <f t="shared" si="2"/>
        <v>2014-06</v>
      </c>
    </row>
    <row r="47" spans="1:7" x14ac:dyDescent="0.35">
      <c r="A47">
        <v>2014</v>
      </c>
      <c r="B47">
        <v>6</v>
      </c>
      <c r="C47" t="s">
        <v>6</v>
      </c>
      <c r="D47">
        <f>SUMIFS(
  fact_sales_monthly!$E:$E,
  fact_sales_monthly!$B:$B, A47,
  fact_sales_monthly!$C:$C, B47,
  fact_sales_monthly!$D:$D, C47
)</f>
        <v>23</v>
      </c>
      <c r="E47">
        <f t="shared" si="0"/>
        <v>23</v>
      </c>
      <c r="F47">
        <f t="shared" si="1"/>
        <v>5.75</v>
      </c>
      <c r="G47" t="str">
        <f t="shared" si="2"/>
        <v>2014-06</v>
      </c>
    </row>
    <row r="48" spans="1:7" x14ac:dyDescent="0.35">
      <c r="A48">
        <v>2014</v>
      </c>
      <c r="B48">
        <v>6</v>
      </c>
      <c r="C48" t="s">
        <v>7</v>
      </c>
      <c r="D48">
        <f>SUMIFS(
  fact_sales_monthly!$E:$E,
  fact_sales_monthly!$B:$B, A48,
  fact_sales_monthly!$C:$C, B48,
  fact_sales_monthly!$D:$D, C48
)</f>
        <v>57</v>
      </c>
      <c r="E48">
        <f t="shared" si="0"/>
        <v>57</v>
      </c>
      <c r="F48">
        <f t="shared" si="1"/>
        <v>14.25</v>
      </c>
      <c r="G48" t="str">
        <f t="shared" si="2"/>
        <v>2014-06</v>
      </c>
    </row>
    <row r="49" spans="1:7" x14ac:dyDescent="0.35">
      <c r="A49">
        <v>2014</v>
      </c>
      <c r="B49">
        <v>6</v>
      </c>
      <c r="C49" t="s">
        <v>8</v>
      </c>
      <c r="D49">
        <f>SUMIFS(
  fact_sales_monthly!$E:$E,
  fact_sales_monthly!$B:$B, A49,
  fact_sales_monthly!$C:$C, B49,
  fact_sales_monthly!$D:$D, C49
)</f>
        <v>109.3</v>
      </c>
      <c r="E49">
        <f t="shared" si="0"/>
        <v>109.3</v>
      </c>
      <c r="F49">
        <f t="shared" si="1"/>
        <v>27.324999999999999</v>
      </c>
      <c r="G49" t="str">
        <f t="shared" si="2"/>
        <v>2014-06</v>
      </c>
    </row>
    <row r="50" spans="1:7" x14ac:dyDescent="0.35">
      <c r="A50">
        <v>2014</v>
      </c>
      <c r="B50">
        <v>7</v>
      </c>
      <c r="C50" t="s">
        <v>1</v>
      </c>
      <c r="D50">
        <f>SUMIFS(
  fact_sales_monthly!$E:$E,
  fact_sales_monthly!$B:$B, A50,
  fact_sales_monthly!$C:$C, B50,
  fact_sales_monthly!$D:$D, C50
)</f>
        <v>0</v>
      </c>
      <c r="E50">
        <f t="shared" si="0"/>
        <v>0</v>
      </c>
      <c r="F50">
        <f t="shared" si="1"/>
        <v>0</v>
      </c>
      <c r="G50" t="str">
        <f t="shared" si="2"/>
        <v>2014-07</v>
      </c>
    </row>
    <row r="51" spans="1:7" x14ac:dyDescent="0.35">
      <c r="A51">
        <v>2014</v>
      </c>
      <c r="B51">
        <v>7</v>
      </c>
      <c r="C51" t="s">
        <v>2</v>
      </c>
      <c r="D51">
        <f>SUMIFS(
  fact_sales_monthly!$E:$E,
  fact_sales_monthly!$B:$B, A51,
  fact_sales_monthly!$C:$C, B51,
  fact_sales_monthly!$D:$D, C51
)</f>
        <v>0</v>
      </c>
      <c r="E51">
        <f t="shared" si="0"/>
        <v>0</v>
      </c>
      <c r="F51">
        <f t="shared" si="1"/>
        <v>0</v>
      </c>
      <c r="G51" t="str">
        <f t="shared" si="2"/>
        <v>2014-07</v>
      </c>
    </row>
    <row r="52" spans="1:7" x14ac:dyDescent="0.35">
      <c r="A52">
        <v>2014</v>
      </c>
      <c r="B52">
        <v>7</v>
      </c>
      <c r="C52" t="s">
        <v>3</v>
      </c>
      <c r="D52">
        <f>SUMIFS(
  fact_sales_monthly!$E:$E,
  fact_sales_monthly!$B:$B, A52,
  fact_sales_monthly!$C:$C, B52,
  fact_sales_monthly!$D:$D, C52
)</f>
        <v>129.30000000000001</v>
      </c>
      <c r="E52">
        <f t="shared" si="0"/>
        <v>129.30000000000001</v>
      </c>
      <c r="F52">
        <f t="shared" si="1"/>
        <v>32.325000000000003</v>
      </c>
      <c r="G52" t="str">
        <f t="shared" si="2"/>
        <v>2014-07</v>
      </c>
    </row>
    <row r="53" spans="1:7" x14ac:dyDescent="0.35">
      <c r="A53">
        <v>2014</v>
      </c>
      <c r="B53">
        <v>7</v>
      </c>
      <c r="C53" t="s">
        <v>4</v>
      </c>
      <c r="D53">
        <f>SUMIFS(
  fact_sales_monthly!$E:$E,
  fact_sales_monthly!$B:$B, A53,
  fact_sales_monthly!$C:$C, B53,
  fact_sales_monthly!$D:$D, C53
)</f>
        <v>491.9</v>
      </c>
      <c r="E53">
        <f t="shared" si="0"/>
        <v>491.9</v>
      </c>
      <c r="F53">
        <f t="shared" si="1"/>
        <v>122.97499999999999</v>
      </c>
      <c r="G53" t="str">
        <f t="shared" si="2"/>
        <v>2014-07</v>
      </c>
    </row>
    <row r="54" spans="1:7" x14ac:dyDescent="0.35">
      <c r="A54">
        <v>2014</v>
      </c>
      <c r="B54">
        <v>7</v>
      </c>
      <c r="C54" t="s">
        <v>5</v>
      </c>
      <c r="D54">
        <f>SUMIFS(
  fact_sales_monthly!$E:$E,
  fact_sales_monthly!$B:$B, A54,
  fact_sales_monthly!$C:$C, B54,
  fact_sales_monthly!$D:$D, C54
)</f>
        <v>348</v>
      </c>
      <c r="E54">
        <f t="shared" si="0"/>
        <v>348</v>
      </c>
      <c r="F54">
        <f t="shared" si="1"/>
        <v>87</v>
      </c>
      <c r="G54" t="str">
        <f t="shared" si="2"/>
        <v>2014-07</v>
      </c>
    </row>
    <row r="55" spans="1:7" x14ac:dyDescent="0.35">
      <c r="A55">
        <v>2014</v>
      </c>
      <c r="B55">
        <v>7</v>
      </c>
      <c r="C55" t="s">
        <v>6</v>
      </c>
      <c r="D55">
        <f>SUMIFS(
  fact_sales_monthly!$E:$E,
  fact_sales_monthly!$B:$B, A55,
  fact_sales_monthly!$C:$C, B55,
  fact_sales_monthly!$D:$D, C55
)</f>
        <v>21</v>
      </c>
      <c r="E55">
        <f t="shared" si="0"/>
        <v>21</v>
      </c>
      <c r="F55">
        <f t="shared" si="1"/>
        <v>5.25</v>
      </c>
      <c r="G55" t="str">
        <f t="shared" si="2"/>
        <v>2014-07</v>
      </c>
    </row>
    <row r="56" spans="1:7" x14ac:dyDescent="0.35">
      <c r="A56">
        <v>2014</v>
      </c>
      <c r="B56">
        <v>7</v>
      </c>
      <c r="C56" t="s">
        <v>7</v>
      </c>
      <c r="D56">
        <f>SUMIFS(
  fact_sales_monthly!$E:$E,
  fact_sales_monthly!$B:$B, A56,
  fact_sales_monthly!$C:$C, B56,
  fact_sales_monthly!$D:$D, C56
)</f>
        <v>61</v>
      </c>
      <c r="E56">
        <f t="shared" si="0"/>
        <v>61</v>
      </c>
      <c r="F56">
        <f t="shared" si="1"/>
        <v>15.25</v>
      </c>
      <c r="G56" t="str">
        <f t="shared" si="2"/>
        <v>2014-07</v>
      </c>
    </row>
    <row r="57" spans="1:7" x14ac:dyDescent="0.35">
      <c r="A57">
        <v>2014</v>
      </c>
      <c r="B57">
        <v>7</v>
      </c>
      <c r="C57" t="s">
        <v>8</v>
      </c>
      <c r="D57">
        <f>SUMIFS(
  fact_sales_monthly!$E:$E,
  fact_sales_monthly!$B:$B, A57,
  fact_sales_monthly!$C:$C, B57,
  fact_sales_monthly!$D:$D, C57
)</f>
        <v>69.099999999999994</v>
      </c>
      <c r="E57">
        <f t="shared" si="0"/>
        <v>69.099999999999994</v>
      </c>
      <c r="F57">
        <f t="shared" si="1"/>
        <v>17.274999999999999</v>
      </c>
      <c r="G57" t="str">
        <f t="shared" si="2"/>
        <v>2014-07</v>
      </c>
    </row>
    <row r="58" spans="1:7" x14ac:dyDescent="0.35">
      <c r="A58">
        <v>2014</v>
      </c>
      <c r="B58">
        <v>8</v>
      </c>
      <c r="C58" t="s">
        <v>1</v>
      </c>
      <c r="D58">
        <f>SUMIFS(
  fact_sales_monthly!$E:$E,
  fact_sales_monthly!$B:$B, A58,
  fact_sales_monthly!$C:$C, B58,
  fact_sales_monthly!$D:$D, C58
)</f>
        <v>0</v>
      </c>
      <c r="E58">
        <f t="shared" si="0"/>
        <v>0</v>
      </c>
      <c r="F58">
        <f t="shared" si="1"/>
        <v>0</v>
      </c>
      <c r="G58" t="str">
        <f t="shared" si="2"/>
        <v>2014-08</v>
      </c>
    </row>
    <row r="59" spans="1:7" x14ac:dyDescent="0.35">
      <c r="A59">
        <v>2014</v>
      </c>
      <c r="B59">
        <v>8</v>
      </c>
      <c r="C59" t="s">
        <v>2</v>
      </c>
      <c r="D59">
        <f>SUMIFS(
  fact_sales_monthly!$E:$E,
  fact_sales_monthly!$B:$B, A59,
  fact_sales_monthly!$C:$C, B59,
  fact_sales_monthly!$D:$D, C59
)</f>
        <v>99.780000000000101</v>
      </c>
      <c r="E59">
        <f t="shared" si="0"/>
        <v>99.780000000000101</v>
      </c>
      <c r="F59">
        <f t="shared" si="1"/>
        <v>24.945000000000025</v>
      </c>
      <c r="G59" t="str">
        <f t="shared" si="2"/>
        <v>2014-08</v>
      </c>
    </row>
    <row r="60" spans="1:7" x14ac:dyDescent="0.35">
      <c r="A60">
        <v>2014</v>
      </c>
      <c r="B60">
        <v>8</v>
      </c>
      <c r="C60" t="s">
        <v>3</v>
      </c>
      <c r="D60">
        <f>SUMIFS(
  fact_sales_monthly!$E:$E,
  fact_sales_monthly!$B:$B, A60,
  fact_sales_monthly!$C:$C, B60,
  fact_sales_monthly!$D:$D, C60
)</f>
        <v>123.8</v>
      </c>
      <c r="E60">
        <f t="shared" si="0"/>
        <v>123.8</v>
      </c>
      <c r="F60">
        <f t="shared" si="1"/>
        <v>30.95</v>
      </c>
      <c r="G60" t="str">
        <f t="shared" si="2"/>
        <v>2014-08</v>
      </c>
    </row>
    <row r="61" spans="1:7" x14ac:dyDescent="0.35">
      <c r="A61">
        <v>2014</v>
      </c>
      <c r="B61">
        <v>8</v>
      </c>
      <c r="C61" t="s">
        <v>4</v>
      </c>
      <c r="D61">
        <f>SUMIFS(
  fact_sales_monthly!$E:$E,
  fact_sales_monthly!$B:$B, A61,
  fact_sales_monthly!$C:$C, B61,
  fact_sales_monthly!$D:$D, C61
)</f>
        <v>0</v>
      </c>
      <c r="E61">
        <f t="shared" si="0"/>
        <v>0</v>
      </c>
      <c r="F61">
        <f t="shared" si="1"/>
        <v>0</v>
      </c>
      <c r="G61" t="str">
        <f t="shared" si="2"/>
        <v>2014-08</v>
      </c>
    </row>
    <row r="62" spans="1:7" x14ac:dyDescent="0.35">
      <c r="A62">
        <v>2014</v>
      </c>
      <c r="B62">
        <v>8</v>
      </c>
      <c r="C62" t="s">
        <v>5</v>
      </c>
      <c r="D62">
        <f>SUMIFS(
  fact_sales_monthly!$E:$E,
  fact_sales_monthly!$B:$B, A62,
  fact_sales_monthly!$C:$C, B62,
  fact_sales_monthly!$D:$D, C62
)</f>
        <v>420</v>
      </c>
      <c r="E62">
        <f t="shared" si="0"/>
        <v>420</v>
      </c>
      <c r="F62">
        <f t="shared" si="1"/>
        <v>105</v>
      </c>
      <c r="G62" t="str">
        <f t="shared" si="2"/>
        <v>2014-08</v>
      </c>
    </row>
    <row r="63" spans="1:7" x14ac:dyDescent="0.35">
      <c r="A63">
        <v>2014</v>
      </c>
      <c r="B63">
        <v>8</v>
      </c>
      <c r="C63" t="s">
        <v>6</v>
      </c>
      <c r="D63">
        <f>SUMIFS(
  fact_sales_monthly!$E:$E,
  fact_sales_monthly!$B:$B, A63,
  fact_sales_monthly!$C:$C, B63,
  fact_sales_monthly!$D:$D, C63
)</f>
        <v>29</v>
      </c>
      <c r="E63">
        <f t="shared" si="0"/>
        <v>29</v>
      </c>
      <c r="F63">
        <f t="shared" si="1"/>
        <v>7.25</v>
      </c>
      <c r="G63" t="str">
        <f t="shared" si="2"/>
        <v>2014-08</v>
      </c>
    </row>
    <row r="64" spans="1:7" x14ac:dyDescent="0.35">
      <c r="A64">
        <v>2014</v>
      </c>
      <c r="B64">
        <v>8</v>
      </c>
      <c r="C64" t="s">
        <v>7</v>
      </c>
      <c r="D64">
        <f>SUMIFS(
  fact_sales_monthly!$E:$E,
  fact_sales_monthly!$B:$B, A64,
  fact_sales_monthly!$C:$C, B64,
  fact_sales_monthly!$D:$D, C64
)</f>
        <v>37</v>
      </c>
      <c r="E64">
        <f t="shared" si="0"/>
        <v>37</v>
      </c>
      <c r="F64">
        <f t="shared" si="1"/>
        <v>9.25</v>
      </c>
      <c r="G64" t="str">
        <f t="shared" si="2"/>
        <v>2014-08</v>
      </c>
    </row>
    <row r="65" spans="1:7" x14ac:dyDescent="0.35">
      <c r="A65">
        <v>2014</v>
      </c>
      <c r="B65">
        <v>8</v>
      </c>
      <c r="C65" t="s">
        <v>8</v>
      </c>
      <c r="D65">
        <f>SUMIFS(
  fact_sales_monthly!$E:$E,
  fact_sales_monthly!$B:$B, A65,
  fact_sales_monthly!$C:$C, B65,
  fact_sales_monthly!$D:$D, C65
)</f>
        <v>0</v>
      </c>
      <c r="E65">
        <f t="shared" si="0"/>
        <v>0</v>
      </c>
      <c r="F65">
        <f t="shared" si="1"/>
        <v>0</v>
      </c>
      <c r="G65" t="str">
        <f t="shared" si="2"/>
        <v>2014-08</v>
      </c>
    </row>
    <row r="66" spans="1:7" x14ac:dyDescent="0.35">
      <c r="A66">
        <v>2014</v>
      </c>
      <c r="B66">
        <v>9</v>
      </c>
      <c r="C66" t="s">
        <v>1</v>
      </c>
      <c r="D66">
        <f>SUMIFS(
  fact_sales_monthly!$E:$E,
  fact_sales_monthly!$B:$B, A66,
  fact_sales_monthly!$C:$C, B66,
  fact_sales_monthly!$D:$D, C66
)</f>
        <v>0</v>
      </c>
      <c r="E66">
        <f t="shared" si="0"/>
        <v>0</v>
      </c>
      <c r="F66">
        <f t="shared" si="1"/>
        <v>0</v>
      </c>
      <c r="G66" t="str">
        <f t="shared" si="2"/>
        <v>2014-09</v>
      </c>
    </row>
    <row r="67" spans="1:7" x14ac:dyDescent="0.35">
      <c r="A67">
        <v>2014</v>
      </c>
      <c r="B67">
        <v>9</v>
      </c>
      <c r="C67" t="s">
        <v>2</v>
      </c>
      <c r="D67">
        <f>SUMIFS(
  fact_sales_monthly!$E:$E,
  fact_sales_monthly!$B:$B, A67,
  fact_sales_monthly!$C:$C, B67,
  fact_sales_monthly!$D:$D, C67
)</f>
        <v>0</v>
      </c>
      <c r="E67">
        <f t="shared" ref="E67:E130" si="3">D67 * 1</f>
        <v>0</v>
      </c>
      <c r="F67">
        <f t="shared" ref="F67:F130" si="4">D67 * 0.25</f>
        <v>0</v>
      </c>
      <c r="G67" t="str">
        <f t="shared" ref="G67:G130" si="5">TEXT(DATE(A67, B67, 1), "yyyy-mm")</f>
        <v>2014-09</v>
      </c>
    </row>
    <row r="68" spans="1:7" x14ac:dyDescent="0.35">
      <c r="A68">
        <v>2014</v>
      </c>
      <c r="B68">
        <v>9</v>
      </c>
      <c r="C68" t="s">
        <v>3</v>
      </c>
      <c r="D68">
        <f>SUMIFS(
  fact_sales_monthly!$E:$E,
  fact_sales_monthly!$B:$B, A68,
  fact_sales_monthly!$C:$C, B68,
  fact_sales_monthly!$D:$D, C68
)</f>
        <v>0</v>
      </c>
      <c r="E68">
        <f t="shared" si="3"/>
        <v>0</v>
      </c>
      <c r="F68">
        <f t="shared" si="4"/>
        <v>0</v>
      </c>
      <c r="G68" t="str">
        <f t="shared" si="5"/>
        <v>2014-09</v>
      </c>
    </row>
    <row r="69" spans="1:7" x14ac:dyDescent="0.35">
      <c r="A69">
        <v>2014</v>
      </c>
      <c r="B69">
        <v>9</v>
      </c>
      <c r="C69" t="s">
        <v>4</v>
      </c>
      <c r="D69">
        <f>SUMIFS(
  fact_sales_monthly!$E:$E,
  fact_sales_monthly!$B:$B, A69,
  fact_sales_monthly!$C:$C, B69,
  fact_sales_monthly!$D:$D, C69
)</f>
        <v>0</v>
      </c>
      <c r="E69">
        <f t="shared" si="3"/>
        <v>0</v>
      </c>
      <c r="F69">
        <f t="shared" si="4"/>
        <v>0</v>
      </c>
      <c r="G69" t="str">
        <f t="shared" si="5"/>
        <v>2014-09</v>
      </c>
    </row>
    <row r="70" spans="1:7" x14ac:dyDescent="0.35">
      <c r="A70">
        <v>2014</v>
      </c>
      <c r="B70">
        <v>9</v>
      </c>
      <c r="C70" t="s">
        <v>5</v>
      </c>
      <c r="D70">
        <f>SUMIFS(
  fact_sales_monthly!$E:$E,
  fact_sales_monthly!$B:$B, A70,
  fact_sales_monthly!$C:$C, B70,
  fact_sales_monthly!$D:$D, C70
)</f>
        <v>399</v>
      </c>
      <c r="E70">
        <f t="shared" si="3"/>
        <v>399</v>
      </c>
      <c r="F70">
        <f t="shared" si="4"/>
        <v>99.75</v>
      </c>
      <c r="G70" t="str">
        <f t="shared" si="5"/>
        <v>2014-09</v>
      </c>
    </row>
    <row r="71" spans="1:7" x14ac:dyDescent="0.35">
      <c r="A71">
        <v>2014</v>
      </c>
      <c r="B71">
        <v>9</v>
      </c>
      <c r="C71" t="s">
        <v>6</v>
      </c>
      <c r="D71">
        <f>SUMIFS(
  fact_sales_monthly!$E:$E,
  fact_sales_monthly!$B:$B, A71,
  fact_sales_monthly!$C:$C, B71,
  fact_sales_monthly!$D:$D, C71
)</f>
        <v>14</v>
      </c>
      <c r="E71">
        <f t="shared" si="3"/>
        <v>14</v>
      </c>
      <c r="F71">
        <f t="shared" si="4"/>
        <v>3.5</v>
      </c>
      <c r="G71" t="str">
        <f t="shared" si="5"/>
        <v>2014-09</v>
      </c>
    </row>
    <row r="72" spans="1:7" x14ac:dyDescent="0.35">
      <c r="A72">
        <v>2014</v>
      </c>
      <c r="B72">
        <v>9</v>
      </c>
      <c r="C72" t="s">
        <v>7</v>
      </c>
      <c r="D72">
        <f>SUMIFS(
  fact_sales_monthly!$E:$E,
  fact_sales_monthly!$B:$B, A72,
  fact_sales_monthly!$C:$C, B72,
  fact_sales_monthly!$D:$D, C72
)</f>
        <v>115</v>
      </c>
      <c r="E72">
        <f t="shared" si="3"/>
        <v>115</v>
      </c>
      <c r="F72">
        <f t="shared" si="4"/>
        <v>28.75</v>
      </c>
      <c r="G72" t="str">
        <f t="shared" si="5"/>
        <v>2014-09</v>
      </c>
    </row>
    <row r="73" spans="1:7" x14ac:dyDescent="0.35">
      <c r="A73">
        <v>2014</v>
      </c>
      <c r="B73">
        <v>9</v>
      </c>
      <c r="C73" t="s">
        <v>8</v>
      </c>
      <c r="D73">
        <f>SUMIFS(
  fact_sales_monthly!$E:$E,
  fact_sales_monthly!$B:$B, A73,
  fact_sales_monthly!$C:$C, B73,
  fact_sales_monthly!$D:$D, C73
)</f>
        <v>58.8</v>
      </c>
      <c r="E73">
        <f t="shared" si="3"/>
        <v>58.8</v>
      </c>
      <c r="F73">
        <f t="shared" si="4"/>
        <v>14.7</v>
      </c>
      <c r="G73" t="str">
        <f t="shared" si="5"/>
        <v>2014-09</v>
      </c>
    </row>
    <row r="74" spans="1:7" x14ac:dyDescent="0.35">
      <c r="A74">
        <v>2014</v>
      </c>
      <c r="B74">
        <v>10</v>
      </c>
      <c r="C74" t="s">
        <v>1</v>
      </c>
      <c r="D74">
        <f>SUMIFS(
  fact_sales_monthly!$E:$E,
  fact_sales_monthly!$B:$B, A74,
  fact_sales_monthly!$C:$C, B74,
  fact_sales_monthly!$D:$D, C74
)</f>
        <v>0</v>
      </c>
      <c r="E74">
        <f t="shared" si="3"/>
        <v>0</v>
      </c>
      <c r="F74">
        <f t="shared" si="4"/>
        <v>0</v>
      </c>
      <c r="G74" t="str">
        <f t="shared" si="5"/>
        <v>2014-10</v>
      </c>
    </row>
    <row r="75" spans="1:7" x14ac:dyDescent="0.35">
      <c r="A75">
        <v>2014</v>
      </c>
      <c r="B75">
        <v>10</v>
      </c>
      <c r="C75" t="s">
        <v>2</v>
      </c>
      <c r="D75">
        <f>SUMIFS(
  fact_sales_monthly!$E:$E,
  fact_sales_monthly!$B:$B, A75,
  fact_sales_monthly!$C:$C, B75,
  fact_sales_monthly!$D:$D, C75
)</f>
        <v>0</v>
      </c>
      <c r="E75">
        <f t="shared" si="3"/>
        <v>0</v>
      </c>
      <c r="F75">
        <f t="shared" si="4"/>
        <v>0</v>
      </c>
      <c r="G75" t="str">
        <f t="shared" si="5"/>
        <v>2014-10</v>
      </c>
    </row>
    <row r="76" spans="1:7" x14ac:dyDescent="0.35">
      <c r="A76">
        <v>2014</v>
      </c>
      <c r="B76">
        <v>10</v>
      </c>
      <c r="C76" t="s">
        <v>3</v>
      </c>
      <c r="D76">
        <f>SUMIFS(
  fact_sales_monthly!$E:$E,
  fact_sales_monthly!$B:$B, A76,
  fact_sales_monthly!$C:$C, B76,
  fact_sales_monthly!$D:$D, C76
)</f>
        <v>0</v>
      </c>
      <c r="E76">
        <f t="shared" si="3"/>
        <v>0</v>
      </c>
      <c r="F76">
        <f t="shared" si="4"/>
        <v>0</v>
      </c>
      <c r="G76" t="str">
        <f t="shared" si="5"/>
        <v>2014-10</v>
      </c>
    </row>
    <row r="77" spans="1:7" x14ac:dyDescent="0.35">
      <c r="A77">
        <v>2014</v>
      </c>
      <c r="B77">
        <v>10</v>
      </c>
      <c r="C77" t="s">
        <v>4</v>
      </c>
      <c r="D77">
        <f>SUMIFS(
  fact_sales_monthly!$E:$E,
  fact_sales_monthly!$B:$B, A77,
  fact_sales_monthly!$C:$C, B77,
  fact_sales_monthly!$D:$D, C77
)</f>
        <v>0</v>
      </c>
      <c r="E77">
        <f t="shared" si="3"/>
        <v>0</v>
      </c>
      <c r="F77">
        <f t="shared" si="4"/>
        <v>0</v>
      </c>
      <c r="G77" t="str">
        <f t="shared" si="5"/>
        <v>2014-10</v>
      </c>
    </row>
    <row r="78" spans="1:7" x14ac:dyDescent="0.35">
      <c r="A78">
        <v>2014</v>
      </c>
      <c r="B78">
        <v>10</v>
      </c>
      <c r="C78" t="s">
        <v>5</v>
      </c>
      <c r="D78">
        <f>SUMIFS(
  fact_sales_monthly!$E:$E,
  fact_sales_monthly!$B:$B, A78,
  fact_sales_monthly!$C:$C, B78,
  fact_sales_monthly!$D:$D, C78
)</f>
        <v>472</v>
      </c>
      <c r="E78">
        <f t="shared" si="3"/>
        <v>472</v>
      </c>
      <c r="F78">
        <f t="shared" si="4"/>
        <v>118</v>
      </c>
      <c r="G78" t="str">
        <f t="shared" si="5"/>
        <v>2014-10</v>
      </c>
    </row>
    <row r="79" spans="1:7" x14ac:dyDescent="0.35">
      <c r="A79">
        <v>2014</v>
      </c>
      <c r="B79">
        <v>10</v>
      </c>
      <c r="C79" t="s">
        <v>6</v>
      </c>
      <c r="D79">
        <f>SUMIFS(
  fact_sales_monthly!$E:$E,
  fact_sales_monthly!$B:$B, A79,
  fact_sales_monthly!$C:$C, B79,
  fact_sales_monthly!$D:$D, C79
)</f>
        <v>30</v>
      </c>
      <c r="E79">
        <f t="shared" si="3"/>
        <v>30</v>
      </c>
      <c r="F79">
        <f t="shared" si="4"/>
        <v>7.5</v>
      </c>
      <c r="G79" t="str">
        <f t="shared" si="5"/>
        <v>2014-10</v>
      </c>
    </row>
    <row r="80" spans="1:7" x14ac:dyDescent="0.35">
      <c r="A80">
        <v>2014</v>
      </c>
      <c r="B80">
        <v>10</v>
      </c>
      <c r="C80" t="s">
        <v>7</v>
      </c>
      <c r="D80">
        <f>SUMIFS(
  fact_sales_monthly!$E:$E,
  fact_sales_monthly!$B:$B, A80,
  fact_sales_monthly!$C:$C, B80,
  fact_sales_monthly!$D:$D, C80
)</f>
        <v>182</v>
      </c>
      <c r="E80">
        <f t="shared" si="3"/>
        <v>182</v>
      </c>
      <c r="F80">
        <f t="shared" si="4"/>
        <v>45.5</v>
      </c>
      <c r="G80" t="str">
        <f t="shared" si="5"/>
        <v>2014-10</v>
      </c>
    </row>
    <row r="81" spans="1:7" x14ac:dyDescent="0.35">
      <c r="A81">
        <v>2014</v>
      </c>
      <c r="B81">
        <v>10</v>
      </c>
      <c r="C81" t="s">
        <v>8</v>
      </c>
      <c r="D81">
        <f>SUMIFS(
  fact_sales_monthly!$E:$E,
  fact_sales_monthly!$B:$B, A81,
  fact_sales_monthly!$C:$C, B81,
  fact_sales_monthly!$D:$D, C81
)</f>
        <v>74.5</v>
      </c>
      <c r="E81">
        <f t="shared" si="3"/>
        <v>74.5</v>
      </c>
      <c r="F81">
        <f t="shared" si="4"/>
        <v>18.625</v>
      </c>
      <c r="G81" t="str">
        <f t="shared" si="5"/>
        <v>2014-10</v>
      </c>
    </row>
    <row r="82" spans="1:7" x14ac:dyDescent="0.35">
      <c r="A82">
        <v>2014</v>
      </c>
      <c r="B82">
        <v>11</v>
      </c>
      <c r="C82" t="s">
        <v>1</v>
      </c>
      <c r="D82">
        <f>SUMIFS(
  fact_sales_monthly!$E:$E,
  fact_sales_monthly!$B:$B, A82,
  fact_sales_monthly!$C:$C, B82,
  fact_sales_monthly!$D:$D, C82
)</f>
        <v>0</v>
      </c>
      <c r="E82">
        <f t="shared" si="3"/>
        <v>0</v>
      </c>
      <c r="F82">
        <f t="shared" si="4"/>
        <v>0</v>
      </c>
      <c r="G82" t="str">
        <f t="shared" si="5"/>
        <v>2014-11</v>
      </c>
    </row>
    <row r="83" spans="1:7" x14ac:dyDescent="0.35">
      <c r="A83">
        <v>2014</v>
      </c>
      <c r="B83">
        <v>11</v>
      </c>
      <c r="C83" t="s">
        <v>2</v>
      </c>
      <c r="D83">
        <f>SUMIFS(
  fact_sales_monthly!$E:$E,
  fact_sales_monthly!$B:$B, A83,
  fact_sales_monthly!$C:$C, B83,
  fact_sales_monthly!$D:$D, C83
)</f>
        <v>0</v>
      </c>
      <c r="E83">
        <f t="shared" si="3"/>
        <v>0</v>
      </c>
      <c r="F83">
        <f t="shared" si="4"/>
        <v>0</v>
      </c>
      <c r="G83" t="str">
        <f t="shared" si="5"/>
        <v>2014-11</v>
      </c>
    </row>
    <row r="84" spans="1:7" x14ac:dyDescent="0.35">
      <c r="A84">
        <v>2014</v>
      </c>
      <c r="B84">
        <v>11</v>
      </c>
      <c r="C84" t="s">
        <v>3</v>
      </c>
      <c r="D84">
        <f>SUMIFS(
  fact_sales_monthly!$E:$E,
  fact_sales_monthly!$B:$B, A84,
  fact_sales_monthly!$C:$C, B84,
  fact_sales_monthly!$D:$D, C84
)</f>
        <v>142.69999999999999</v>
      </c>
      <c r="E84">
        <f t="shared" si="3"/>
        <v>142.69999999999999</v>
      </c>
      <c r="F84">
        <f t="shared" si="4"/>
        <v>35.674999999999997</v>
      </c>
      <c r="G84" t="str">
        <f t="shared" si="5"/>
        <v>2014-11</v>
      </c>
    </row>
    <row r="85" spans="1:7" x14ac:dyDescent="0.35">
      <c r="A85">
        <v>2014</v>
      </c>
      <c r="B85">
        <v>11</v>
      </c>
      <c r="C85" t="s">
        <v>4</v>
      </c>
      <c r="D85">
        <f>SUMIFS(
  fact_sales_monthly!$E:$E,
  fact_sales_monthly!$B:$B, A85,
  fact_sales_monthly!$C:$C, B85,
  fact_sales_monthly!$D:$D, C85
)</f>
        <v>723.8</v>
      </c>
      <c r="E85">
        <f t="shared" si="3"/>
        <v>723.8</v>
      </c>
      <c r="F85">
        <f t="shared" si="4"/>
        <v>180.95</v>
      </c>
      <c r="G85" t="str">
        <f t="shared" si="5"/>
        <v>2014-11</v>
      </c>
    </row>
    <row r="86" spans="1:7" x14ac:dyDescent="0.35">
      <c r="A86">
        <v>2014</v>
      </c>
      <c r="B86">
        <v>11</v>
      </c>
      <c r="C86" t="s">
        <v>5</v>
      </c>
      <c r="D86">
        <f>SUMIFS(
  fact_sales_monthly!$E:$E,
  fact_sales_monthly!$B:$B, A86,
  fact_sales_monthly!$C:$C, B86,
  fact_sales_monthly!$D:$D, C86
)</f>
        <v>489</v>
      </c>
      <c r="E86">
        <f t="shared" si="3"/>
        <v>489</v>
      </c>
      <c r="F86">
        <f t="shared" si="4"/>
        <v>122.25</v>
      </c>
      <c r="G86" t="str">
        <f t="shared" si="5"/>
        <v>2014-11</v>
      </c>
    </row>
    <row r="87" spans="1:7" x14ac:dyDescent="0.35">
      <c r="A87">
        <v>2014</v>
      </c>
      <c r="B87">
        <v>11</v>
      </c>
      <c r="C87" t="s">
        <v>6</v>
      </c>
      <c r="D87">
        <f>SUMIFS(
  fact_sales_monthly!$E:$E,
  fact_sales_monthly!$B:$B, A87,
  fact_sales_monthly!$C:$C, B87,
  fact_sales_monthly!$D:$D, C87
)</f>
        <v>19</v>
      </c>
      <c r="E87">
        <f t="shared" si="3"/>
        <v>19</v>
      </c>
      <c r="F87">
        <f t="shared" si="4"/>
        <v>4.75</v>
      </c>
      <c r="G87" t="str">
        <f t="shared" si="5"/>
        <v>2014-11</v>
      </c>
    </row>
    <row r="88" spans="1:7" x14ac:dyDescent="0.35">
      <c r="A88">
        <v>2014</v>
      </c>
      <c r="B88">
        <v>11</v>
      </c>
      <c r="C88" t="s">
        <v>7</v>
      </c>
      <c r="D88">
        <f>SUMIFS(
  fact_sales_monthly!$E:$E,
  fact_sales_monthly!$B:$B, A88,
  fact_sales_monthly!$C:$C, B88,
  fact_sales_monthly!$D:$D, C88
)</f>
        <v>112</v>
      </c>
      <c r="E88">
        <f t="shared" si="3"/>
        <v>112</v>
      </c>
      <c r="F88">
        <f t="shared" si="4"/>
        <v>28</v>
      </c>
      <c r="G88" t="str">
        <f t="shared" si="5"/>
        <v>2014-11</v>
      </c>
    </row>
    <row r="89" spans="1:7" x14ac:dyDescent="0.35">
      <c r="A89">
        <v>2014</v>
      </c>
      <c r="B89">
        <v>11</v>
      </c>
      <c r="C89" t="s">
        <v>8</v>
      </c>
      <c r="D89">
        <f>SUMIFS(
  fact_sales_monthly!$E:$E,
  fact_sales_monthly!$B:$B, A89,
  fact_sales_monthly!$C:$C, B89,
  fact_sales_monthly!$D:$D, C89
)</f>
        <v>45.2</v>
      </c>
      <c r="E89">
        <f t="shared" si="3"/>
        <v>45.2</v>
      </c>
      <c r="F89">
        <f t="shared" si="4"/>
        <v>11.3</v>
      </c>
      <c r="G89" t="str">
        <f t="shared" si="5"/>
        <v>2014-11</v>
      </c>
    </row>
    <row r="90" spans="1:7" x14ac:dyDescent="0.35">
      <c r="A90">
        <v>2014</v>
      </c>
      <c r="B90">
        <v>12</v>
      </c>
      <c r="C90" t="s">
        <v>1</v>
      </c>
      <c r="D90">
        <f>SUMIFS(
  fact_sales_monthly!$E:$E,
  fact_sales_monthly!$B:$B, A90,
  fact_sales_monthly!$C:$C, B90,
  fact_sales_monthly!$D:$D, C90
)</f>
        <v>0</v>
      </c>
      <c r="E90">
        <f t="shared" si="3"/>
        <v>0</v>
      </c>
      <c r="F90">
        <f t="shared" si="4"/>
        <v>0</v>
      </c>
      <c r="G90" t="str">
        <f t="shared" si="5"/>
        <v>2014-12</v>
      </c>
    </row>
    <row r="91" spans="1:7" x14ac:dyDescent="0.35">
      <c r="A91">
        <v>2014</v>
      </c>
      <c r="B91">
        <v>12</v>
      </c>
      <c r="C91" t="s">
        <v>2</v>
      </c>
      <c r="D91">
        <f>SUMIFS(
  fact_sales_monthly!$E:$E,
  fact_sales_monthly!$B:$B, A91,
  fact_sales_monthly!$C:$C, B91,
  fact_sales_monthly!$D:$D, C91
)</f>
        <v>0</v>
      </c>
      <c r="E91">
        <f t="shared" si="3"/>
        <v>0</v>
      </c>
      <c r="F91">
        <f t="shared" si="4"/>
        <v>0</v>
      </c>
      <c r="G91" t="str">
        <f t="shared" si="5"/>
        <v>2014-12</v>
      </c>
    </row>
    <row r="92" spans="1:7" x14ac:dyDescent="0.35">
      <c r="A92">
        <v>2014</v>
      </c>
      <c r="B92">
        <v>12</v>
      </c>
      <c r="C92" t="s">
        <v>3</v>
      </c>
      <c r="D92">
        <f>SUMIFS(
  fact_sales_monthly!$E:$E,
  fact_sales_monthly!$B:$B, A92,
  fact_sales_monthly!$C:$C, B92,
  fact_sales_monthly!$D:$D, C92
)</f>
        <v>0</v>
      </c>
      <c r="E92">
        <f t="shared" si="3"/>
        <v>0</v>
      </c>
      <c r="F92">
        <f t="shared" si="4"/>
        <v>0</v>
      </c>
      <c r="G92" t="str">
        <f t="shared" si="5"/>
        <v>2014-12</v>
      </c>
    </row>
    <row r="93" spans="1:7" x14ac:dyDescent="0.35">
      <c r="A93">
        <v>2014</v>
      </c>
      <c r="B93">
        <v>12</v>
      </c>
      <c r="C93" t="s">
        <v>4</v>
      </c>
      <c r="D93">
        <f>SUMIFS(
  fact_sales_monthly!$E:$E,
  fact_sales_monthly!$B:$B, A93,
  fact_sales_monthly!$C:$C, B93,
  fact_sales_monthly!$D:$D, C93
)</f>
        <v>0</v>
      </c>
      <c r="E93">
        <f t="shared" si="3"/>
        <v>0</v>
      </c>
      <c r="F93">
        <f t="shared" si="4"/>
        <v>0</v>
      </c>
      <c r="G93" t="str">
        <f t="shared" si="5"/>
        <v>2014-12</v>
      </c>
    </row>
    <row r="94" spans="1:7" x14ac:dyDescent="0.35">
      <c r="A94">
        <v>2014</v>
      </c>
      <c r="B94">
        <v>12</v>
      </c>
      <c r="C94" t="s">
        <v>5</v>
      </c>
      <c r="D94">
        <f>SUMIFS(
  fact_sales_monthly!$E:$E,
  fact_sales_monthly!$B:$B, A94,
  fact_sales_monthly!$C:$C, B94,
  fact_sales_monthly!$D:$D, C94
)</f>
        <v>492</v>
      </c>
      <c r="E94">
        <f t="shared" si="3"/>
        <v>492</v>
      </c>
      <c r="F94">
        <f t="shared" si="4"/>
        <v>123</v>
      </c>
      <c r="G94" t="str">
        <f t="shared" si="5"/>
        <v>2014-12</v>
      </c>
    </row>
    <row r="95" spans="1:7" x14ac:dyDescent="0.35">
      <c r="A95">
        <v>2014</v>
      </c>
      <c r="B95">
        <v>12</v>
      </c>
      <c r="C95" t="s">
        <v>6</v>
      </c>
      <c r="D95">
        <f>SUMIFS(
  fact_sales_monthly!$E:$E,
  fact_sales_monthly!$B:$B, A95,
  fact_sales_monthly!$C:$C, B95,
  fact_sales_monthly!$D:$D, C95
)</f>
        <v>25</v>
      </c>
      <c r="E95">
        <f t="shared" si="3"/>
        <v>25</v>
      </c>
      <c r="F95">
        <f t="shared" si="4"/>
        <v>6.25</v>
      </c>
      <c r="G95" t="str">
        <f t="shared" si="5"/>
        <v>2014-12</v>
      </c>
    </row>
    <row r="96" spans="1:7" x14ac:dyDescent="0.35">
      <c r="A96">
        <v>2014</v>
      </c>
      <c r="B96">
        <v>12</v>
      </c>
      <c r="C96" t="s">
        <v>7</v>
      </c>
      <c r="D96">
        <f>SUMIFS(
  fact_sales_monthly!$E:$E,
  fact_sales_monthly!$B:$B, A96,
  fact_sales_monthly!$C:$C, B96,
  fact_sales_monthly!$D:$D, C96
)</f>
        <v>163</v>
      </c>
      <c r="E96">
        <f t="shared" si="3"/>
        <v>163</v>
      </c>
      <c r="F96">
        <f t="shared" si="4"/>
        <v>40.75</v>
      </c>
      <c r="G96" t="str">
        <f t="shared" si="5"/>
        <v>2014-12</v>
      </c>
    </row>
    <row r="97" spans="1:7" x14ac:dyDescent="0.35">
      <c r="A97">
        <v>2014</v>
      </c>
      <c r="B97">
        <v>12</v>
      </c>
      <c r="C97" t="s">
        <v>8</v>
      </c>
      <c r="D97">
        <f>SUMIFS(
  fact_sales_monthly!$E:$E,
  fact_sales_monthly!$B:$B, A97,
  fact_sales_monthly!$C:$C, B97,
  fact_sales_monthly!$D:$D, C97
)</f>
        <v>33.4</v>
      </c>
      <c r="E97">
        <f t="shared" si="3"/>
        <v>33.4</v>
      </c>
      <c r="F97">
        <f t="shared" si="4"/>
        <v>8.35</v>
      </c>
      <c r="G97" t="str">
        <f t="shared" si="5"/>
        <v>2014-12</v>
      </c>
    </row>
    <row r="98" spans="1:7" x14ac:dyDescent="0.35">
      <c r="A98">
        <v>2015</v>
      </c>
      <c r="B98">
        <v>1</v>
      </c>
      <c r="C98" t="s">
        <v>1</v>
      </c>
      <c r="D98">
        <f>SUMIFS(
  fact_sales_monthly!$E:$E,
  fact_sales_monthly!$B:$B, A98,
  fact_sales_monthly!$C:$C, B98,
  fact_sales_monthly!$D:$D, C98
)</f>
        <v>0</v>
      </c>
      <c r="E98">
        <f t="shared" si="3"/>
        <v>0</v>
      </c>
      <c r="F98">
        <f t="shared" si="4"/>
        <v>0</v>
      </c>
      <c r="G98" t="str">
        <f t="shared" si="5"/>
        <v>2015-01</v>
      </c>
    </row>
    <row r="99" spans="1:7" x14ac:dyDescent="0.35">
      <c r="A99">
        <v>2015</v>
      </c>
      <c r="B99">
        <v>1</v>
      </c>
      <c r="C99" t="s">
        <v>2</v>
      </c>
      <c r="D99">
        <f>SUMIFS(
  fact_sales_monthly!$E:$E,
  fact_sales_monthly!$B:$B, A99,
  fact_sales_monthly!$C:$C, B99,
  fact_sales_monthly!$D:$D, C99
)</f>
        <v>0</v>
      </c>
      <c r="E99">
        <f t="shared" si="3"/>
        <v>0</v>
      </c>
      <c r="F99">
        <f t="shared" si="4"/>
        <v>0</v>
      </c>
      <c r="G99" t="str">
        <f t="shared" si="5"/>
        <v>2015-01</v>
      </c>
    </row>
    <row r="100" spans="1:7" x14ac:dyDescent="0.35">
      <c r="A100">
        <v>2015</v>
      </c>
      <c r="B100">
        <v>1</v>
      </c>
      <c r="C100" t="s">
        <v>3</v>
      </c>
      <c r="D100">
        <f>SUMIFS(
  fact_sales_monthly!$E:$E,
  fact_sales_monthly!$B:$B, A100,
  fact_sales_monthly!$C:$C, B100,
  fact_sales_monthly!$D:$D, C100
)</f>
        <v>141</v>
      </c>
      <c r="E100">
        <f t="shared" si="3"/>
        <v>141</v>
      </c>
      <c r="F100">
        <f t="shared" si="4"/>
        <v>35.25</v>
      </c>
      <c r="G100" t="str">
        <f t="shared" si="5"/>
        <v>2015-01</v>
      </c>
    </row>
    <row r="101" spans="1:7" x14ac:dyDescent="0.35">
      <c r="A101">
        <v>2015</v>
      </c>
      <c r="B101">
        <v>1</v>
      </c>
      <c r="C101" t="s">
        <v>4</v>
      </c>
      <c r="D101">
        <f>SUMIFS(
  fact_sales_monthly!$E:$E,
  fact_sales_monthly!$B:$B, A101,
  fact_sales_monthly!$C:$C, B101,
  fact_sales_monthly!$D:$D, C101
)</f>
        <v>0</v>
      </c>
      <c r="E101">
        <f t="shared" si="3"/>
        <v>0</v>
      </c>
      <c r="F101">
        <f t="shared" si="4"/>
        <v>0</v>
      </c>
      <c r="G101" t="str">
        <f t="shared" si="5"/>
        <v>2015-01</v>
      </c>
    </row>
    <row r="102" spans="1:7" x14ac:dyDescent="0.35">
      <c r="A102">
        <v>2015</v>
      </c>
      <c r="B102">
        <v>1</v>
      </c>
      <c r="C102" t="s">
        <v>5</v>
      </c>
      <c r="D102">
        <f>SUMIFS(
  fact_sales_monthly!$E:$E,
  fact_sales_monthly!$B:$B, A102,
  fact_sales_monthly!$C:$C, B102,
  fact_sales_monthly!$D:$D, C102
)</f>
        <v>463</v>
      </c>
      <c r="E102">
        <f t="shared" si="3"/>
        <v>463</v>
      </c>
      <c r="F102">
        <f t="shared" si="4"/>
        <v>115.75</v>
      </c>
      <c r="G102" t="str">
        <f t="shared" si="5"/>
        <v>2015-01</v>
      </c>
    </row>
    <row r="103" spans="1:7" x14ac:dyDescent="0.35">
      <c r="A103">
        <v>2015</v>
      </c>
      <c r="B103">
        <v>1</v>
      </c>
      <c r="C103" t="s">
        <v>6</v>
      </c>
      <c r="D103">
        <f>SUMIFS(
  fact_sales_monthly!$E:$E,
  fact_sales_monthly!$B:$B, A103,
  fact_sales_monthly!$C:$C, B103,
  fact_sales_monthly!$D:$D, C103
)</f>
        <v>24</v>
      </c>
      <c r="E103">
        <f t="shared" si="3"/>
        <v>24</v>
      </c>
      <c r="F103">
        <f t="shared" si="4"/>
        <v>6</v>
      </c>
      <c r="G103" t="str">
        <f t="shared" si="5"/>
        <v>2015-01</v>
      </c>
    </row>
    <row r="104" spans="1:7" x14ac:dyDescent="0.35">
      <c r="A104">
        <v>2015</v>
      </c>
      <c r="B104">
        <v>1</v>
      </c>
      <c r="C104" t="s">
        <v>7</v>
      </c>
      <c r="D104">
        <f>SUMIFS(
  fact_sales_monthly!$E:$E,
  fact_sales_monthly!$B:$B, A104,
  fact_sales_monthly!$C:$C, B104,
  fact_sales_monthly!$D:$D, C104
)</f>
        <v>177.25</v>
      </c>
      <c r="E104">
        <f t="shared" si="3"/>
        <v>177.25</v>
      </c>
      <c r="F104">
        <f t="shared" si="4"/>
        <v>44.3125</v>
      </c>
      <c r="G104" t="str">
        <f t="shared" si="5"/>
        <v>2015-01</v>
      </c>
    </row>
    <row r="105" spans="1:7" x14ac:dyDescent="0.35">
      <c r="A105">
        <v>2015</v>
      </c>
      <c r="B105">
        <v>1</v>
      </c>
      <c r="C105" t="s">
        <v>8</v>
      </c>
      <c r="D105">
        <f>SUMIFS(
  fact_sales_monthly!$E:$E,
  fact_sales_monthly!$B:$B, A105,
  fact_sales_monthly!$C:$C, B105,
  fact_sales_monthly!$D:$D, C105
)</f>
        <v>42</v>
      </c>
      <c r="E105">
        <f t="shared" si="3"/>
        <v>42</v>
      </c>
      <c r="F105">
        <f t="shared" si="4"/>
        <v>10.5</v>
      </c>
      <c r="G105" t="str">
        <f t="shared" si="5"/>
        <v>2015-01</v>
      </c>
    </row>
    <row r="106" spans="1:7" x14ac:dyDescent="0.35">
      <c r="A106">
        <v>2015</v>
      </c>
      <c r="B106">
        <v>2</v>
      </c>
      <c r="C106" t="s">
        <v>1</v>
      </c>
      <c r="D106">
        <f>SUMIFS(
  fact_sales_monthly!$E:$E,
  fact_sales_monthly!$B:$B, A106,
  fact_sales_monthly!$C:$C, B106,
  fact_sales_monthly!$D:$D, C106
)</f>
        <v>115.71</v>
      </c>
      <c r="E106">
        <f t="shared" si="3"/>
        <v>115.71</v>
      </c>
      <c r="F106">
        <f t="shared" si="4"/>
        <v>28.927499999999998</v>
      </c>
      <c r="G106" t="str">
        <f t="shared" si="5"/>
        <v>2015-02</v>
      </c>
    </row>
    <row r="107" spans="1:7" x14ac:dyDescent="0.35">
      <c r="A107">
        <v>2015</v>
      </c>
      <c r="B107">
        <v>2</v>
      </c>
      <c r="C107" t="s">
        <v>2</v>
      </c>
      <c r="D107">
        <f>SUMIFS(
  fact_sales_monthly!$E:$E,
  fact_sales_monthly!$B:$B, A107,
  fact_sales_monthly!$C:$C, B107,
  fact_sales_monthly!$D:$D, C107
)</f>
        <v>0</v>
      </c>
      <c r="E107">
        <f t="shared" si="3"/>
        <v>0</v>
      </c>
      <c r="F107">
        <f t="shared" si="4"/>
        <v>0</v>
      </c>
      <c r="G107" t="str">
        <f t="shared" si="5"/>
        <v>2015-02</v>
      </c>
    </row>
    <row r="108" spans="1:7" x14ac:dyDescent="0.35">
      <c r="A108">
        <v>2015</v>
      </c>
      <c r="B108">
        <v>2</v>
      </c>
      <c r="C108" t="s">
        <v>3</v>
      </c>
      <c r="D108">
        <f>SUMIFS(
  fact_sales_monthly!$E:$E,
  fact_sales_monthly!$B:$B, A108,
  fact_sales_monthly!$C:$C, B108,
  fact_sales_monthly!$D:$D, C108
)</f>
        <v>131.83000000000001</v>
      </c>
      <c r="E108">
        <f t="shared" si="3"/>
        <v>131.83000000000001</v>
      </c>
      <c r="F108">
        <f t="shared" si="4"/>
        <v>32.957500000000003</v>
      </c>
      <c r="G108" t="str">
        <f t="shared" si="5"/>
        <v>2015-02</v>
      </c>
    </row>
    <row r="109" spans="1:7" x14ac:dyDescent="0.35">
      <c r="A109">
        <v>2015</v>
      </c>
      <c r="B109">
        <v>2</v>
      </c>
      <c r="C109" t="s">
        <v>4</v>
      </c>
      <c r="D109">
        <f>SUMIFS(
  fact_sales_monthly!$E:$E,
  fact_sales_monthly!$B:$B, A109,
  fact_sales_monthly!$C:$C, B109,
  fact_sales_monthly!$D:$D, C109
)</f>
        <v>953.25199999999995</v>
      </c>
      <c r="E109">
        <f t="shared" si="3"/>
        <v>953.25199999999995</v>
      </c>
      <c r="F109">
        <f t="shared" si="4"/>
        <v>238.31299999999999</v>
      </c>
      <c r="G109" t="str">
        <f t="shared" si="5"/>
        <v>2015-02</v>
      </c>
    </row>
    <row r="110" spans="1:7" x14ac:dyDescent="0.35">
      <c r="A110">
        <v>2015</v>
      </c>
      <c r="B110">
        <v>2</v>
      </c>
      <c r="C110" t="s">
        <v>5</v>
      </c>
      <c r="D110">
        <f>SUMIFS(
  fact_sales_monthly!$E:$E,
  fact_sales_monthly!$B:$B, A110,
  fact_sales_monthly!$C:$C, B110,
  fact_sales_monthly!$D:$D, C110
)</f>
        <v>243</v>
      </c>
      <c r="E110">
        <f t="shared" si="3"/>
        <v>243</v>
      </c>
      <c r="F110">
        <f t="shared" si="4"/>
        <v>60.75</v>
      </c>
      <c r="G110" t="str">
        <f t="shared" si="5"/>
        <v>2015-02</v>
      </c>
    </row>
    <row r="111" spans="1:7" x14ac:dyDescent="0.35">
      <c r="A111">
        <v>2015</v>
      </c>
      <c r="B111">
        <v>2</v>
      </c>
      <c r="C111" t="s">
        <v>6</v>
      </c>
      <c r="D111">
        <f>SUMIFS(
  fact_sales_monthly!$E:$E,
  fact_sales_monthly!$B:$B, A111,
  fact_sales_monthly!$C:$C, B111,
  fact_sales_monthly!$D:$D, C111
)</f>
        <v>9</v>
      </c>
      <c r="E111">
        <f t="shared" si="3"/>
        <v>9</v>
      </c>
      <c r="F111">
        <f t="shared" si="4"/>
        <v>2.25</v>
      </c>
      <c r="G111" t="str">
        <f t="shared" si="5"/>
        <v>2015-02</v>
      </c>
    </row>
    <row r="112" spans="1:7" x14ac:dyDescent="0.35">
      <c r="A112">
        <v>2015</v>
      </c>
      <c r="B112">
        <v>2</v>
      </c>
      <c r="C112" t="s">
        <v>7</v>
      </c>
      <c r="D112">
        <f>SUMIFS(
  fact_sales_monthly!$E:$E,
  fact_sales_monthly!$B:$B, A112,
  fact_sales_monthly!$C:$C, B112,
  fact_sales_monthly!$D:$D, C112
)</f>
        <v>208</v>
      </c>
      <c r="E112">
        <f t="shared" si="3"/>
        <v>208</v>
      </c>
      <c r="F112">
        <f t="shared" si="4"/>
        <v>52</v>
      </c>
      <c r="G112" t="str">
        <f t="shared" si="5"/>
        <v>2015-02</v>
      </c>
    </row>
    <row r="113" spans="1:7" x14ac:dyDescent="0.35">
      <c r="A113">
        <v>2015</v>
      </c>
      <c r="B113">
        <v>2</v>
      </c>
      <c r="C113" t="s">
        <v>8</v>
      </c>
      <c r="D113">
        <f>SUMIFS(
  fact_sales_monthly!$E:$E,
  fact_sales_monthly!$B:$B, A113,
  fact_sales_monthly!$C:$C, B113,
  fact_sales_monthly!$D:$D, C113
)</f>
        <v>47</v>
      </c>
      <c r="E113">
        <f t="shared" si="3"/>
        <v>47</v>
      </c>
      <c r="F113">
        <f t="shared" si="4"/>
        <v>11.75</v>
      </c>
      <c r="G113" t="str">
        <f t="shared" si="5"/>
        <v>2015-02</v>
      </c>
    </row>
    <row r="114" spans="1:7" x14ac:dyDescent="0.35">
      <c r="A114">
        <v>2015</v>
      </c>
      <c r="B114">
        <v>3</v>
      </c>
      <c r="C114" t="s">
        <v>1</v>
      </c>
      <c r="D114">
        <f>SUMIFS(
  fact_sales_monthly!$E:$E,
  fact_sales_monthly!$B:$B, A114,
  fact_sales_monthly!$C:$C, B114,
  fact_sales_monthly!$D:$D, C114
)</f>
        <v>0</v>
      </c>
      <c r="E114">
        <f t="shared" si="3"/>
        <v>0</v>
      </c>
      <c r="F114">
        <f t="shared" si="4"/>
        <v>0</v>
      </c>
      <c r="G114" t="str">
        <f t="shared" si="5"/>
        <v>2015-03</v>
      </c>
    </row>
    <row r="115" spans="1:7" x14ac:dyDescent="0.35">
      <c r="A115">
        <v>2015</v>
      </c>
      <c r="B115">
        <v>3</v>
      </c>
      <c r="C115" t="s">
        <v>2</v>
      </c>
      <c r="D115">
        <f>SUMIFS(
  fact_sales_monthly!$E:$E,
  fact_sales_monthly!$B:$B, A115,
  fact_sales_monthly!$C:$C, B115,
  fact_sales_monthly!$D:$D, C115
)</f>
        <v>0</v>
      </c>
      <c r="E115">
        <f t="shared" si="3"/>
        <v>0</v>
      </c>
      <c r="F115">
        <f t="shared" si="4"/>
        <v>0</v>
      </c>
      <c r="G115" t="str">
        <f t="shared" si="5"/>
        <v>2015-03</v>
      </c>
    </row>
    <row r="116" spans="1:7" x14ac:dyDescent="0.35">
      <c r="A116">
        <v>2015</v>
      </c>
      <c r="B116">
        <v>3</v>
      </c>
      <c r="C116" t="s">
        <v>3</v>
      </c>
      <c r="D116">
        <f>SUMIFS(
  fact_sales_monthly!$E:$E,
  fact_sales_monthly!$B:$B, A116,
  fact_sales_monthly!$C:$C, B116,
  fact_sales_monthly!$D:$D, C116
)</f>
        <v>133.80000000000001</v>
      </c>
      <c r="E116">
        <f t="shared" si="3"/>
        <v>133.80000000000001</v>
      </c>
      <c r="F116">
        <f t="shared" si="4"/>
        <v>33.450000000000003</v>
      </c>
      <c r="G116" t="str">
        <f t="shared" si="5"/>
        <v>2015-03</v>
      </c>
    </row>
    <row r="117" spans="1:7" x14ac:dyDescent="0.35">
      <c r="A117">
        <v>2015</v>
      </c>
      <c r="B117">
        <v>3</v>
      </c>
      <c r="C117" t="s">
        <v>4</v>
      </c>
      <c r="D117">
        <f>SUMIFS(
  fact_sales_monthly!$E:$E,
  fact_sales_monthly!$B:$B, A117,
  fact_sales_monthly!$C:$C, B117,
  fact_sales_monthly!$D:$D, C117
)</f>
        <v>0</v>
      </c>
      <c r="E117">
        <f t="shared" si="3"/>
        <v>0</v>
      </c>
      <c r="F117">
        <f t="shared" si="4"/>
        <v>0</v>
      </c>
      <c r="G117" t="str">
        <f t="shared" si="5"/>
        <v>2015-03</v>
      </c>
    </row>
    <row r="118" spans="1:7" x14ac:dyDescent="0.35">
      <c r="A118">
        <v>2015</v>
      </c>
      <c r="B118">
        <v>3</v>
      </c>
      <c r="C118" t="s">
        <v>5</v>
      </c>
      <c r="D118">
        <f>SUMIFS(
  fact_sales_monthly!$E:$E,
  fact_sales_monthly!$B:$B, A118,
  fact_sales_monthly!$C:$C, B118,
  fact_sales_monthly!$D:$D, C118
)</f>
        <v>208</v>
      </c>
      <c r="E118">
        <f t="shared" si="3"/>
        <v>208</v>
      </c>
      <c r="F118">
        <f t="shared" si="4"/>
        <v>52</v>
      </c>
      <c r="G118" t="str">
        <f t="shared" si="5"/>
        <v>2015-03</v>
      </c>
    </row>
    <row r="119" spans="1:7" x14ac:dyDescent="0.35">
      <c r="A119">
        <v>2015</v>
      </c>
      <c r="B119">
        <v>3</v>
      </c>
      <c r="C119" t="s">
        <v>6</v>
      </c>
      <c r="D119">
        <f>SUMIFS(
  fact_sales_monthly!$E:$E,
  fact_sales_monthly!$B:$B, A119,
  fact_sales_monthly!$C:$C, B119,
  fact_sales_monthly!$D:$D, C119
)</f>
        <v>13</v>
      </c>
      <c r="E119">
        <f t="shared" si="3"/>
        <v>13</v>
      </c>
      <c r="F119">
        <f t="shared" si="4"/>
        <v>3.25</v>
      </c>
      <c r="G119" t="str">
        <f t="shared" si="5"/>
        <v>2015-03</v>
      </c>
    </row>
    <row r="120" spans="1:7" x14ac:dyDescent="0.35">
      <c r="A120">
        <v>2015</v>
      </c>
      <c r="B120">
        <v>3</v>
      </c>
      <c r="C120" t="s">
        <v>7</v>
      </c>
      <c r="D120">
        <f>SUMIFS(
  fact_sales_monthly!$E:$E,
  fact_sales_monthly!$B:$B, A120,
  fact_sales_monthly!$C:$C, B120,
  fact_sales_monthly!$D:$D, C120
)</f>
        <v>195</v>
      </c>
      <c r="E120">
        <f t="shared" si="3"/>
        <v>195</v>
      </c>
      <c r="F120">
        <f t="shared" si="4"/>
        <v>48.75</v>
      </c>
      <c r="G120" t="str">
        <f t="shared" si="5"/>
        <v>2015-03</v>
      </c>
    </row>
    <row r="121" spans="1:7" x14ac:dyDescent="0.35">
      <c r="A121">
        <v>2015</v>
      </c>
      <c r="B121">
        <v>3</v>
      </c>
      <c r="C121" t="s">
        <v>8</v>
      </c>
      <c r="D121">
        <f>SUMIFS(
  fact_sales_monthly!$E:$E,
  fact_sales_monthly!$B:$B, A121,
  fact_sales_monthly!$C:$C, B121,
  fact_sales_monthly!$D:$D, C121
)</f>
        <v>54</v>
      </c>
      <c r="E121">
        <f t="shared" si="3"/>
        <v>54</v>
      </c>
      <c r="F121">
        <f t="shared" si="4"/>
        <v>13.5</v>
      </c>
      <c r="G121" t="str">
        <f t="shared" si="5"/>
        <v>2015-03</v>
      </c>
    </row>
    <row r="122" spans="1:7" x14ac:dyDescent="0.35">
      <c r="A122">
        <v>2015</v>
      </c>
      <c r="B122">
        <v>4</v>
      </c>
      <c r="C122" t="s">
        <v>1</v>
      </c>
      <c r="D122">
        <f>SUMIFS(
  fact_sales_monthly!$E:$E,
  fact_sales_monthly!$B:$B, A122,
  fact_sales_monthly!$C:$C, B122,
  fact_sales_monthly!$D:$D, C122
)</f>
        <v>154.5</v>
      </c>
      <c r="E122">
        <f t="shared" si="3"/>
        <v>154.5</v>
      </c>
      <c r="F122">
        <f t="shared" si="4"/>
        <v>38.625</v>
      </c>
      <c r="G122" t="str">
        <f t="shared" si="5"/>
        <v>2015-04</v>
      </c>
    </row>
    <row r="123" spans="1:7" x14ac:dyDescent="0.35">
      <c r="A123">
        <v>2015</v>
      </c>
      <c r="B123">
        <v>4</v>
      </c>
      <c r="C123" t="s">
        <v>2</v>
      </c>
      <c r="D123">
        <f>SUMIFS(
  fact_sales_monthly!$E:$E,
  fact_sales_monthly!$B:$B, A123,
  fact_sales_monthly!$C:$C, B123,
  fact_sales_monthly!$D:$D, C123
)</f>
        <v>101.11499999999999</v>
      </c>
      <c r="E123">
        <f t="shared" si="3"/>
        <v>101.11499999999999</v>
      </c>
      <c r="F123">
        <f t="shared" si="4"/>
        <v>25.278749999999999</v>
      </c>
      <c r="G123" t="str">
        <f t="shared" si="5"/>
        <v>2015-04</v>
      </c>
    </row>
    <row r="124" spans="1:7" x14ac:dyDescent="0.35">
      <c r="A124">
        <v>2015</v>
      </c>
      <c r="B124">
        <v>4</v>
      </c>
      <c r="C124" t="s">
        <v>3</v>
      </c>
      <c r="D124">
        <f>SUMIFS(
  fact_sales_monthly!$E:$E,
  fact_sales_monthly!$B:$B, A124,
  fact_sales_monthly!$C:$C, B124,
  fact_sales_monthly!$D:$D, C124
)</f>
        <v>0</v>
      </c>
      <c r="E124">
        <f t="shared" si="3"/>
        <v>0</v>
      </c>
      <c r="F124">
        <f t="shared" si="4"/>
        <v>0</v>
      </c>
      <c r="G124" t="str">
        <f t="shared" si="5"/>
        <v>2015-04</v>
      </c>
    </row>
    <row r="125" spans="1:7" x14ac:dyDescent="0.35">
      <c r="A125">
        <v>2015</v>
      </c>
      <c r="B125">
        <v>4</v>
      </c>
      <c r="C125" t="s">
        <v>4</v>
      </c>
      <c r="D125">
        <f>SUMIFS(
  fact_sales_monthly!$E:$E,
  fact_sales_monthly!$B:$B, A125,
  fact_sales_monthly!$C:$C, B125,
  fact_sales_monthly!$D:$D, C125
)</f>
        <v>0</v>
      </c>
      <c r="E125">
        <f t="shared" si="3"/>
        <v>0</v>
      </c>
      <c r="F125">
        <f t="shared" si="4"/>
        <v>0</v>
      </c>
      <c r="G125" t="str">
        <f t="shared" si="5"/>
        <v>2015-04</v>
      </c>
    </row>
    <row r="126" spans="1:7" x14ac:dyDescent="0.35">
      <c r="A126">
        <v>2015</v>
      </c>
      <c r="B126">
        <v>4</v>
      </c>
      <c r="C126" t="s">
        <v>5</v>
      </c>
      <c r="D126">
        <f>SUMIFS(
  fact_sales_monthly!$E:$E,
  fact_sales_monthly!$B:$B, A126,
  fact_sales_monthly!$C:$C, B126,
  fact_sales_monthly!$D:$D, C126
)</f>
        <v>192</v>
      </c>
      <c r="E126">
        <f t="shared" si="3"/>
        <v>192</v>
      </c>
      <c r="F126">
        <f t="shared" si="4"/>
        <v>48</v>
      </c>
      <c r="G126" t="str">
        <f t="shared" si="5"/>
        <v>2015-04</v>
      </c>
    </row>
    <row r="127" spans="1:7" x14ac:dyDescent="0.35">
      <c r="A127">
        <v>2015</v>
      </c>
      <c r="B127">
        <v>4</v>
      </c>
      <c r="C127" t="s">
        <v>6</v>
      </c>
      <c r="D127">
        <f>SUMIFS(
  fact_sales_monthly!$E:$E,
  fact_sales_monthly!$B:$B, A127,
  fact_sales_monthly!$C:$C, B127,
  fact_sales_monthly!$D:$D, C127
)</f>
        <v>5</v>
      </c>
      <c r="E127">
        <f t="shared" si="3"/>
        <v>5</v>
      </c>
      <c r="F127">
        <f t="shared" si="4"/>
        <v>1.25</v>
      </c>
      <c r="G127" t="str">
        <f t="shared" si="5"/>
        <v>2015-04</v>
      </c>
    </row>
    <row r="128" spans="1:7" x14ac:dyDescent="0.35">
      <c r="A128">
        <v>2015</v>
      </c>
      <c r="B128">
        <v>4</v>
      </c>
      <c r="C128" t="s">
        <v>7</v>
      </c>
      <c r="D128">
        <f>SUMIFS(
  fact_sales_monthly!$E:$E,
  fact_sales_monthly!$B:$B, A128,
  fact_sales_monthly!$C:$C, B128,
  fact_sales_monthly!$D:$D, C128
)</f>
        <v>97</v>
      </c>
      <c r="E128">
        <f t="shared" si="3"/>
        <v>97</v>
      </c>
      <c r="F128">
        <f t="shared" si="4"/>
        <v>24.25</v>
      </c>
      <c r="G128" t="str">
        <f t="shared" si="5"/>
        <v>2015-04</v>
      </c>
    </row>
    <row r="129" spans="1:7" x14ac:dyDescent="0.35">
      <c r="A129">
        <v>2015</v>
      </c>
      <c r="B129">
        <v>4</v>
      </c>
      <c r="C129" t="s">
        <v>8</v>
      </c>
      <c r="D129">
        <f>SUMIFS(
  fact_sales_monthly!$E:$E,
  fact_sales_monthly!$B:$B, A129,
  fact_sales_monthly!$C:$C, B129,
  fact_sales_monthly!$D:$D, C129
)</f>
        <v>112</v>
      </c>
      <c r="E129">
        <f t="shared" si="3"/>
        <v>112</v>
      </c>
      <c r="F129">
        <f t="shared" si="4"/>
        <v>28</v>
      </c>
      <c r="G129" t="str">
        <f t="shared" si="5"/>
        <v>2015-04</v>
      </c>
    </row>
    <row r="130" spans="1:7" x14ac:dyDescent="0.35">
      <c r="A130">
        <v>2015</v>
      </c>
      <c r="B130">
        <v>5</v>
      </c>
      <c r="C130" t="s">
        <v>1</v>
      </c>
      <c r="D130">
        <f>SUMIFS(
  fact_sales_monthly!$E:$E,
  fact_sales_monthly!$B:$B, A130,
  fact_sales_monthly!$C:$C, B130,
  fact_sales_monthly!$D:$D, C130
)</f>
        <v>160.02000000000001</v>
      </c>
      <c r="E130">
        <f t="shared" si="3"/>
        <v>160.02000000000001</v>
      </c>
      <c r="F130">
        <f t="shared" si="4"/>
        <v>40.005000000000003</v>
      </c>
      <c r="G130" t="str">
        <f t="shared" si="5"/>
        <v>2015-05</v>
      </c>
    </row>
    <row r="131" spans="1:7" x14ac:dyDescent="0.35">
      <c r="A131">
        <v>2015</v>
      </c>
      <c r="B131">
        <v>5</v>
      </c>
      <c r="C131" t="s">
        <v>2</v>
      </c>
      <c r="D131">
        <f>SUMIFS(
  fact_sales_monthly!$E:$E,
  fact_sales_monthly!$B:$B, A131,
  fact_sales_monthly!$C:$C, B131,
  fact_sales_monthly!$D:$D, C131
)</f>
        <v>0</v>
      </c>
      <c r="E131">
        <f t="shared" ref="E131:E194" si="6">D131 * 1</f>
        <v>0</v>
      </c>
      <c r="F131">
        <f t="shared" ref="F131:F194" si="7">D131 * 0.25</f>
        <v>0</v>
      </c>
      <c r="G131" t="str">
        <f t="shared" ref="G131:G194" si="8">TEXT(DATE(A131, B131, 1), "yyyy-mm")</f>
        <v>2015-05</v>
      </c>
    </row>
    <row r="132" spans="1:7" x14ac:dyDescent="0.35">
      <c r="A132">
        <v>2015</v>
      </c>
      <c r="B132">
        <v>5</v>
      </c>
      <c r="C132" t="s">
        <v>3</v>
      </c>
      <c r="D132">
        <f>SUMIFS(
  fact_sales_monthly!$E:$E,
  fact_sales_monthly!$B:$B, A132,
  fact_sales_monthly!$C:$C, B132,
  fact_sales_monthly!$D:$D, C132
)</f>
        <v>136.04</v>
      </c>
      <c r="E132">
        <f t="shared" si="6"/>
        <v>136.04</v>
      </c>
      <c r="F132">
        <f t="shared" si="7"/>
        <v>34.01</v>
      </c>
      <c r="G132" t="str">
        <f t="shared" si="8"/>
        <v>2015-05</v>
      </c>
    </row>
    <row r="133" spans="1:7" x14ac:dyDescent="0.35">
      <c r="A133">
        <v>2015</v>
      </c>
      <c r="B133">
        <v>5</v>
      </c>
      <c r="C133" t="s">
        <v>4</v>
      </c>
      <c r="D133">
        <f>SUMIFS(
  fact_sales_monthly!$E:$E,
  fact_sales_monthly!$B:$B, A133,
  fact_sales_monthly!$C:$C, B133,
  fact_sales_monthly!$D:$D, C133
)</f>
        <v>0</v>
      </c>
      <c r="E133">
        <f t="shared" si="6"/>
        <v>0</v>
      </c>
      <c r="F133">
        <f t="shared" si="7"/>
        <v>0</v>
      </c>
      <c r="G133" t="str">
        <f t="shared" si="8"/>
        <v>2015-05</v>
      </c>
    </row>
    <row r="134" spans="1:7" x14ac:dyDescent="0.35">
      <c r="A134">
        <v>2015</v>
      </c>
      <c r="B134">
        <v>5</v>
      </c>
      <c r="C134" t="s">
        <v>5</v>
      </c>
      <c r="D134">
        <f>SUMIFS(
  fact_sales_monthly!$E:$E,
  fact_sales_monthly!$B:$B, A134,
  fact_sales_monthly!$C:$C, B134,
  fact_sales_monthly!$D:$D, C134
)</f>
        <v>194</v>
      </c>
      <c r="E134">
        <f t="shared" si="6"/>
        <v>194</v>
      </c>
      <c r="F134">
        <f t="shared" si="7"/>
        <v>48.5</v>
      </c>
      <c r="G134" t="str">
        <f t="shared" si="8"/>
        <v>2015-05</v>
      </c>
    </row>
    <row r="135" spans="1:7" x14ac:dyDescent="0.35">
      <c r="A135">
        <v>2015</v>
      </c>
      <c r="B135">
        <v>5</v>
      </c>
      <c r="C135" t="s">
        <v>6</v>
      </c>
      <c r="D135">
        <f>SUMIFS(
  fact_sales_monthly!$E:$E,
  fact_sales_monthly!$B:$B, A135,
  fact_sales_monthly!$C:$C, B135,
  fact_sales_monthly!$D:$D, C135
)</f>
        <v>10</v>
      </c>
      <c r="E135">
        <f t="shared" si="6"/>
        <v>10</v>
      </c>
      <c r="F135">
        <f t="shared" si="7"/>
        <v>2.5</v>
      </c>
      <c r="G135" t="str">
        <f t="shared" si="8"/>
        <v>2015-05</v>
      </c>
    </row>
    <row r="136" spans="1:7" x14ac:dyDescent="0.35">
      <c r="A136">
        <v>2015</v>
      </c>
      <c r="B136">
        <v>5</v>
      </c>
      <c r="C136" t="s">
        <v>7</v>
      </c>
      <c r="D136">
        <f>SUMIFS(
  fact_sales_monthly!$E:$E,
  fact_sales_monthly!$B:$B, A136,
  fact_sales_monthly!$C:$C, B136,
  fact_sales_monthly!$D:$D, C136
)</f>
        <v>100</v>
      </c>
      <c r="E136">
        <f t="shared" si="6"/>
        <v>100</v>
      </c>
      <c r="F136">
        <f t="shared" si="7"/>
        <v>25</v>
      </c>
      <c r="G136" t="str">
        <f t="shared" si="8"/>
        <v>2015-05</v>
      </c>
    </row>
    <row r="137" spans="1:7" x14ac:dyDescent="0.35">
      <c r="A137">
        <v>2015</v>
      </c>
      <c r="B137">
        <v>5</v>
      </c>
      <c r="C137" t="s">
        <v>8</v>
      </c>
      <c r="D137">
        <f>SUMIFS(
  fact_sales_monthly!$E:$E,
  fact_sales_monthly!$B:$B, A137,
  fact_sales_monthly!$C:$C, B137,
  fact_sales_monthly!$D:$D, C137
)</f>
        <v>159.5</v>
      </c>
      <c r="E137">
        <f t="shared" si="6"/>
        <v>159.5</v>
      </c>
      <c r="F137">
        <f t="shared" si="7"/>
        <v>39.875</v>
      </c>
      <c r="G137" t="str">
        <f t="shared" si="8"/>
        <v>2015-05</v>
      </c>
    </row>
    <row r="138" spans="1:7" x14ac:dyDescent="0.35">
      <c r="A138">
        <v>2015</v>
      </c>
      <c r="B138">
        <v>6</v>
      </c>
      <c r="C138" t="s">
        <v>1</v>
      </c>
      <c r="D138">
        <f>SUMIFS(
  fact_sales_monthly!$E:$E,
  fact_sales_monthly!$B:$B, A138,
  fact_sales_monthly!$C:$C, B138,
  fact_sales_monthly!$D:$D, C138
)</f>
        <v>0</v>
      </c>
      <c r="E138">
        <f t="shared" si="6"/>
        <v>0</v>
      </c>
      <c r="F138">
        <f t="shared" si="7"/>
        <v>0</v>
      </c>
      <c r="G138" t="str">
        <f t="shared" si="8"/>
        <v>2015-06</v>
      </c>
    </row>
    <row r="139" spans="1:7" x14ac:dyDescent="0.35">
      <c r="A139">
        <v>2015</v>
      </c>
      <c r="B139">
        <v>6</v>
      </c>
      <c r="C139" t="s">
        <v>2</v>
      </c>
      <c r="D139">
        <f>SUMIFS(
  fact_sales_monthly!$E:$E,
  fact_sales_monthly!$B:$B, A139,
  fact_sales_monthly!$C:$C, B139,
  fact_sales_monthly!$D:$D, C139
)</f>
        <v>113.69</v>
      </c>
      <c r="E139">
        <f t="shared" si="6"/>
        <v>113.69</v>
      </c>
      <c r="F139">
        <f t="shared" si="7"/>
        <v>28.422499999999999</v>
      </c>
      <c r="G139" t="str">
        <f t="shared" si="8"/>
        <v>2015-06</v>
      </c>
    </row>
    <row r="140" spans="1:7" x14ac:dyDescent="0.35">
      <c r="A140">
        <v>2015</v>
      </c>
      <c r="B140">
        <v>6</v>
      </c>
      <c r="C140" t="s">
        <v>3</v>
      </c>
      <c r="D140">
        <f>SUMIFS(
  fact_sales_monthly!$E:$E,
  fact_sales_monthly!$B:$B, A140,
  fact_sales_monthly!$C:$C, B140,
  fact_sales_monthly!$D:$D, C140
)</f>
        <v>145.46</v>
      </c>
      <c r="E140">
        <f t="shared" si="6"/>
        <v>145.46</v>
      </c>
      <c r="F140">
        <f t="shared" si="7"/>
        <v>36.365000000000002</v>
      </c>
      <c r="G140" t="str">
        <f t="shared" si="8"/>
        <v>2015-06</v>
      </c>
    </row>
    <row r="141" spans="1:7" x14ac:dyDescent="0.35">
      <c r="A141">
        <v>2015</v>
      </c>
      <c r="B141">
        <v>6</v>
      </c>
      <c r="C141" t="s">
        <v>4</v>
      </c>
      <c r="D141">
        <f>SUMIFS(
  fact_sales_monthly!$E:$E,
  fact_sales_monthly!$B:$B, A141,
  fact_sales_monthly!$C:$C, B141,
  fact_sales_monthly!$D:$D, C141
)</f>
        <v>746.78800000000001</v>
      </c>
      <c r="E141">
        <f t="shared" si="6"/>
        <v>746.78800000000001</v>
      </c>
      <c r="F141">
        <f t="shared" si="7"/>
        <v>186.697</v>
      </c>
      <c r="G141" t="str">
        <f t="shared" si="8"/>
        <v>2015-06</v>
      </c>
    </row>
    <row r="142" spans="1:7" x14ac:dyDescent="0.35">
      <c r="A142">
        <v>2015</v>
      </c>
      <c r="B142">
        <v>6</v>
      </c>
      <c r="C142" t="s">
        <v>5</v>
      </c>
      <c r="D142">
        <f>SUMIFS(
  fact_sales_monthly!$E:$E,
  fact_sales_monthly!$B:$B, A142,
  fact_sales_monthly!$C:$C, B142,
  fact_sales_monthly!$D:$D, C142
)</f>
        <v>217</v>
      </c>
      <c r="E142">
        <f t="shared" si="6"/>
        <v>217</v>
      </c>
      <c r="F142">
        <f t="shared" si="7"/>
        <v>54.25</v>
      </c>
      <c r="G142" t="str">
        <f t="shared" si="8"/>
        <v>2015-06</v>
      </c>
    </row>
    <row r="143" spans="1:7" x14ac:dyDescent="0.35">
      <c r="A143">
        <v>2015</v>
      </c>
      <c r="B143">
        <v>6</v>
      </c>
      <c r="C143" t="s">
        <v>6</v>
      </c>
      <c r="D143">
        <f>SUMIFS(
  fact_sales_monthly!$E:$E,
  fact_sales_monthly!$B:$B, A143,
  fact_sales_monthly!$C:$C, B143,
  fact_sales_monthly!$D:$D, C143
)</f>
        <v>12</v>
      </c>
      <c r="E143">
        <f t="shared" si="6"/>
        <v>12</v>
      </c>
      <c r="F143">
        <f t="shared" si="7"/>
        <v>3</v>
      </c>
      <c r="G143" t="str">
        <f t="shared" si="8"/>
        <v>2015-06</v>
      </c>
    </row>
    <row r="144" spans="1:7" x14ac:dyDescent="0.35">
      <c r="A144">
        <v>2015</v>
      </c>
      <c r="B144">
        <v>6</v>
      </c>
      <c r="C144" t="s">
        <v>7</v>
      </c>
      <c r="D144">
        <f>SUMIFS(
  fact_sales_monthly!$E:$E,
  fact_sales_monthly!$B:$B, A144,
  fact_sales_monthly!$C:$C, B144,
  fact_sales_monthly!$D:$D, C144
)</f>
        <v>193</v>
      </c>
      <c r="E144">
        <f t="shared" si="6"/>
        <v>193</v>
      </c>
      <c r="F144">
        <f t="shared" si="7"/>
        <v>48.25</v>
      </c>
      <c r="G144" t="str">
        <f t="shared" si="8"/>
        <v>2015-06</v>
      </c>
    </row>
    <row r="145" spans="1:7" x14ac:dyDescent="0.35">
      <c r="A145">
        <v>2015</v>
      </c>
      <c r="B145">
        <v>6</v>
      </c>
      <c r="C145" t="s">
        <v>8</v>
      </c>
      <c r="D145">
        <f>SUMIFS(
  fact_sales_monthly!$E:$E,
  fact_sales_monthly!$B:$B, A145,
  fact_sales_monthly!$C:$C, B145,
  fact_sales_monthly!$D:$D, C145
)</f>
        <v>0</v>
      </c>
      <c r="E145">
        <f t="shared" si="6"/>
        <v>0</v>
      </c>
      <c r="F145">
        <f t="shared" si="7"/>
        <v>0</v>
      </c>
      <c r="G145" t="str">
        <f t="shared" si="8"/>
        <v>2015-06</v>
      </c>
    </row>
    <row r="146" spans="1:7" x14ac:dyDescent="0.35">
      <c r="A146">
        <v>2015</v>
      </c>
      <c r="B146">
        <v>7</v>
      </c>
      <c r="C146" t="s">
        <v>1</v>
      </c>
      <c r="D146">
        <f>SUMIFS(
  fact_sales_monthly!$E:$E,
  fact_sales_monthly!$B:$B, A146,
  fact_sales_monthly!$C:$C, B146,
  fact_sales_monthly!$D:$D, C146
)</f>
        <v>0</v>
      </c>
      <c r="E146">
        <f t="shared" si="6"/>
        <v>0</v>
      </c>
      <c r="F146">
        <f t="shared" si="7"/>
        <v>0</v>
      </c>
      <c r="G146" t="str">
        <f t="shared" si="8"/>
        <v>2015-07</v>
      </c>
    </row>
    <row r="147" spans="1:7" x14ac:dyDescent="0.35">
      <c r="A147">
        <v>2015</v>
      </c>
      <c r="B147">
        <v>7</v>
      </c>
      <c r="C147" t="s">
        <v>2</v>
      </c>
      <c r="D147">
        <f>SUMIFS(
  fact_sales_monthly!$E:$E,
  fact_sales_monthly!$B:$B, A147,
  fact_sales_monthly!$C:$C, B147,
  fact_sales_monthly!$D:$D, C147
)</f>
        <v>0</v>
      </c>
      <c r="E147">
        <f t="shared" si="6"/>
        <v>0</v>
      </c>
      <c r="F147">
        <f t="shared" si="7"/>
        <v>0</v>
      </c>
      <c r="G147" t="str">
        <f t="shared" si="8"/>
        <v>2015-07</v>
      </c>
    </row>
    <row r="148" spans="1:7" x14ac:dyDescent="0.35">
      <c r="A148">
        <v>2015</v>
      </c>
      <c r="B148">
        <v>7</v>
      </c>
      <c r="C148" t="s">
        <v>3</v>
      </c>
      <c r="D148">
        <f>SUMIFS(
  fact_sales_monthly!$E:$E,
  fact_sales_monthly!$B:$B, A148,
  fact_sales_monthly!$C:$C, B148,
  fact_sales_monthly!$D:$D, C148
)</f>
        <v>125.5</v>
      </c>
      <c r="E148">
        <f t="shared" si="6"/>
        <v>125.5</v>
      </c>
      <c r="F148">
        <f t="shared" si="7"/>
        <v>31.375</v>
      </c>
      <c r="G148" t="str">
        <f t="shared" si="8"/>
        <v>2015-07</v>
      </c>
    </row>
    <row r="149" spans="1:7" x14ac:dyDescent="0.35">
      <c r="A149">
        <v>2015</v>
      </c>
      <c r="B149">
        <v>7</v>
      </c>
      <c r="C149" t="s">
        <v>4</v>
      </c>
      <c r="D149">
        <f>SUMIFS(
  fact_sales_monthly!$E:$E,
  fact_sales_monthly!$B:$B, A149,
  fact_sales_monthly!$C:$C, B149,
  fact_sales_monthly!$D:$D, C149
)</f>
        <v>0</v>
      </c>
      <c r="E149">
        <f t="shared" si="6"/>
        <v>0</v>
      </c>
      <c r="F149">
        <f t="shared" si="7"/>
        <v>0</v>
      </c>
      <c r="G149" t="str">
        <f t="shared" si="8"/>
        <v>2015-07</v>
      </c>
    </row>
    <row r="150" spans="1:7" x14ac:dyDescent="0.35">
      <c r="A150">
        <v>2015</v>
      </c>
      <c r="B150">
        <v>7</v>
      </c>
      <c r="C150" t="s">
        <v>5</v>
      </c>
      <c r="D150">
        <f>SUMIFS(
  fact_sales_monthly!$E:$E,
  fact_sales_monthly!$B:$B, A150,
  fact_sales_monthly!$C:$C, B150,
  fact_sales_monthly!$D:$D, C150
)</f>
        <v>203</v>
      </c>
      <c r="E150">
        <f t="shared" si="6"/>
        <v>203</v>
      </c>
      <c r="F150">
        <f t="shared" si="7"/>
        <v>50.75</v>
      </c>
      <c r="G150" t="str">
        <f t="shared" si="8"/>
        <v>2015-07</v>
      </c>
    </row>
    <row r="151" spans="1:7" x14ac:dyDescent="0.35">
      <c r="A151">
        <v>2015</v>
      </c>
      <c r="B151">
        <v>7</v>
      </c>
      <c r="C151" t="s">
        <v>6</v>
      </c>
      <c r="D151">
        <f>SUMIFS(
  fact_sales_monthly!$E:$E,
  fact_sales_monthly!$B:$B, A151,
  fact_sales_monthly!$C:$C, B151,
  fact_sales_monthly!$D:$D, C151
)</f>
        <v>6</v>
      </c>
      <c r="E151">
        <f t="shared" si="6"/>
        <v>6</v>
      </c>
      <c r="F151">
        <f t="shared" si="7"/>
        <v>1.5</v>
      </c>
      <c r="G151" t="str">
        <f t="shared" si="8"/>
        <v>2015-07</v>
      </c>
    </row>
    <row r="152" spans="1:7" x14ac:dyDescent="0.35">
      <c r="A152">
        <v>2015</v>
      </c>
      <c r="B152">
        <v>7</v>
      </c>
      <c r="C152" t="s">
        <v>7</v>
      </c>
      <c r="D152">
        <f>SUMIFS(
  fact_sales_monthly!$E:$E,
  fact_sales_monthly!$B:$B, A152,
  fact_sales_monthly!$C:$C, B152,
  fact_sales_monthly!$D:$D, C152
)</f>
        <v>60</v>
      </c>
      <c r="E152">
        <f t="shared" si="6"/>
        <v>60</v>
      </c>
      <c r="F152">
        <f t="shared" si="7"/>
        <v>15</v>
      </c>
      <c r="G152" t="str">
        <f t="shared" si="8"/>
        <v>2015-07</v>
      </c>
    </row>
    <row r="153" spans="1:7" x14ac:dyDescent="0.35">
      <c r="A153">
        <v>2015</v>
      </c>
      <c r="B153">
        <v>7</v>
      </c>
      <c r="C153" t="s">
        <v>8</v>
      </c>
      <c r="D153">
        <f>SUMIFS(
  fact_sales_monthly!$E:$E,
  fact_sales_monthly!$B:$B, A153,
  fact_sales_monthly!$C:$C, B153,
  fact_sales_monthly!$D:$D, C153
)</f>
        <v>130.30000000000001</v>
      </c>
      <c r="E153">
        <f t="shared" si="6"/>
        <v>130.30000000000001</v>
      </c>
      <c r="F153">
        <f t="shared" si="7"/>
        <v>32.575000000000003</v>
      </c>
      <c r="G153" t="str">
        <f t="shared" si="8"/>
        <v>2015-07</v>
      </c>
    </row>
    <row r="154" spans="1:7" x14ac:dyDescent="0.35">
      <c r="A154">
        <v>2015</v>
      </c>
      <c r="B154">
        <v>8</v>
      </c>
      <c r="C154" t="s">
        <v>1</v>
      </c>
      <c r="D154">
        <f>SUMIFS(
  fact_sales_monthly!$E:$E,
  fact_sales_monthly!$B:$B, A154,
  fact_sales_monthly!$C:$C, B154,
  fact_sales_monthly!$D:$D, C154
)</f>
        <v>0</v>
      </c>
      <c r="E154">
        <f t="shared" si="6"/>
        <v>0</v>
      </c>
      <c r="F154">
        <f t="shared" si="7"/>
        <v>0</v>
      </c>
      <c r="G154" t="str">
        <f t="shared" si="8"/>
        <v>2015-08</v>
      </c>
    </row>
    <row r="155" spans="1:7" x14ac:dyDescent="0.35">
      <c r="A155">
        <v>2015</v>
      </c>
      <c r="B155">
        <v>8</v>
      </c>
      <c r="C155" t="s">
        <v>2</v>
      </c>
      <c r="D155">
        <f>SUMIFS(
  fact_sales_monthly!$E:$E,
  fact_sales_monthly!$B:$B, A155,
  fact_sales_monthly!$C:$C, B155,
  fact_sales_monthly!$D:$D, C155
)</f>
        <v>0</v>
      </c>
      <c r="E155">
        <f t="shared" si="6"/>
        <v>0</v>
      </c>
      <c r="F155">
        <f t="shared" si="7"/>
        <v>0</v>
      </c>
      <c r="G155" t="str">
        <f t="shared" si="8"/>
        <v>2015-08</v>
      </c>
    </row>
    <row r="156" spans="1:7" x14ac:dyDescent="0.35">
      <c r="A156">
        <v>2015</v>
      </c>
      <c r="B156">
        <v>8</v>
      </c>
      <c r="C156" t="s">
        <v>3</v>
      </c>
      <c r="D156">
        <f>SUMIFS(
  fact_sales_monthly!$E:$E,
  fact_sales_monthly!$B:$B, A156,
  fact_sales_monthly!$C:$C, B156,
  fact_sales_monthly!$D:$D, C156
)</f>
        <v>133.4</v>
      </c>
      <c r="E156">
        <f t="shared" si="6"/>
        <v>133.4</v>
      </c>
      <c r="F156">
        <f t="shared" si="7"/>
        <v>33.35</v>
      </c>
      <c r="G156" t="str">
        <f t="shared" si="8"/>
        <v>2015-08</v>
      </c>
    </row>
    <row r="157" spans="1:7" x14ac:dyDescent="0.35">
      <c r="A157">
        <v>2015</v>
      </c>
      <c r="B157">
        <v>8</v>
      </c>
      <c r="C157" t="s">
        <v>4</v>
      </c>
      <c r="D157">
        <f>SUMIFS(
  fact_sales_monthly!$E:$E,
  fact_sales_monthly!$B:$B, A157,
  fact_sales_monthly!$C:$C, B157,
  fact_sales_monthly!$D:$D, C157
)</f>
        <v>790.78800000000001</v>
      </c>
      <c r="E157">
        <f t="shared" si="6"/>
        <v>790.78800000000001</v>
      </c>
      <c r="F157">
        <f t="shared" si="7"/>
        <v>197.697</v>
      </c>
      <c r="G157" t="str">
        <f t="shared" si="8"/>
        <v>2015-08</v>
      </c>
    </row>
    <row r="158" spans="1:7" x14ac:dyDescent="0.35">
      <c r="A158">
        <v>2015</v>
      </c>
      <c r="B158">
        <v>8</v>
      </c>
      <c r="C158" t="s">
        <v>5</v>
      </c>
      <c r="D158">
        <f>SUMIFS(
  fact_sales_monthly!$E:$E,
  fact_sales_monthly!$B:$B, A158,
  fact_sales_monthly!$C:$C, B158,
  fact_sales_monthly!$D:$D, C158
)</f>
        <v>265.5</v>
      </c>
      <c r="E158">
        <f t="shared" si="6"/>
        <v>265.5</v>
      </c>
      <c r="F158">
        <f t="shared" si="7"/>
        <v>66.375</v>
      </c>
      <c r="G158" t="str">
        <f t="shared" si="8"/>
        <v>2015-08</v>
      </c>
    </row>
    <row r="159" spans="1:7" x14ac:dyDescent="0.35">
      <c r="A159">
        <v>2015</v>
      </c>
      <c r="B159">
        <v>8</v>
      </c>
      <c r="C159" t="s">
        <v>6</v>
      </c>
      <c r="D159">
        <f>SUMIFS(
  fact_sales_monthly!$E:$E,
  fact_sales_monthly!$B:$B, A159,
  fact_sales_monthly!$C:$C, B159,
  fact_sales_monthly!$D:$D, C159
)</f>
        <v>15</v>
      </c>
      <c r="E159">
        <f t="shared" si="6"/>
        <v>15</v>
      </c>
      <c r="F159">
        <f t="shared" si="7"/>
        <v>3.75</v>
      </c>
      <c r="G159" t="str">
        <f t="shared" si="8"/>
        <v>2015-08</v>
      </c>
    </row>
    <row r="160" spans="1:7" x14ac:dyDescent="0.35">
      <c r="A160">
        <v>2015</v>
      </c>
      <c r="B160">
        <v>8</v>
      </c>
      <c r="C160" t="s">
        <v>7</v>
      </c>
      <c r="D160">
        <f>SUMIFS(
  fact_sales_monthly!$E:$E,
  fact_sales_monthly!$B:$B, A160,
  fact_sales_monthly!$C:$C, B160,
  fact_sales_monthly!$D:$D, C160
)</f>
        <v>45</v>
      </c>
      <c r="E160">
        <f t="shared" si="6"/>
        <v>45</v>
      </c>
      <c r="F160">
        <f t="shared" si="7"/>
        <v>11.25</v>
      </c>
      <c r="G160" t="str">
        <f t="shared" si="8"/>
        <v>2015-08</v>
      </c>
    </row>
    <row r="161" spans="1:7" x14ac:dyDescent="0.35">
      <c r="A161">
        <v>2015</v>
      </c>
      <c r="B161">
        <v>8</v>
      </c>
      <c r="C161" t="s">
        <v>8</v>
      </c>
      <c r="D161">
        <f>SUMIFS(
  fact_sales_monthly!$E:$E,
  fact_sales_monthly!$B:$B, A161,
  fact_sales_monthly!$C:$C, B161,
  fact_sales_monthly!$D:$D, C161
)</f>
        <v>83.7</v>
      </c>
      <c r="E161">
        <f t="shared" si="6"/>
        <v>83.7</v>
      </c>
      <c r="F161">
        <f t="shared" si="7"/>
        <v>20.925000000000001</v>
      </c>
      <c r="G161" t="str">
        <f t="shared" si="8"/>
        <v>2015-08</v>
      </c>
    </row>
    <row r="162" spans="1:7" x14ac:dyDescent="0.35">
      <c r="A162">
        <v>2015</v>
      </c>
      <c r="B162">
        <v>9</v>
      </c>
      <c r="C162" t="s">
        <v>1</v>
      </c>
      <c r="D162">
        <f>SUMIFS(
  fact_sales_monthly!$E:$E,
  fact_sales_monthly!$B:$B, A162,
  fact_sales_monthly!$C:$C, B162,
  fact_sales_monthly!$D:$D, C162
)</f>
        <v>0</v>
      </c>
      <c r="E162">
        <f t="shared" si="6"/>
        <v>0</v>
      </c>
      <c r="F162">
        <f t="shared" si="7"/>
        <v>0</v>
      </c>
      <c r="G162" t="str">
        <f t="shared" si="8"/>
        <v>2015-09</v>
      </c>
    </row>
    <row r="163" spans="1:7" x14ac:dyDescent="0.35">
      <c r="A163">
        <v>2015</v>
      </c>
      <c r="B163">
        <v>9</v>
      </c>
      <c r="C163" t="s">
        <v>2</v>
      </c>
      <c r="D163">
        <f>SUMIFS(
  fact_sales_monthly!$E:$E,
  fact_sales_monthly!$B:$B, A163,
  fact_sales_monthly!$C:$C, B163,
  fact_sales_monthly!$D:$D, C163
)</f>
        <v>0</v>
      </c>
      <c r="E163">
        <f t="shared" si="6"/>
        <v>0</v>
      </c>
      <c r="F163">
        <f t="shared" si="7"/>
        <v>0</v>
      </c>
      <c r="G163" t="str">
        <f t="shared" si="8"/>
        <v>2015-09</v>
      </c>
    </row>
    <row r="164" spans="1:7" x14ac:dyDescent="0.35">
      <c r="A164">
        <v>2015</v>
      </c>
      <c r="B164">
        <v>9</v>
      </c>
      <c r="C164" t="s">
        <v>3</v>
      </c>
      <c r="D164">
        <f>SUMIFS(
  fact_sales_monthly!$E:$E,
  fact_sales_monthly!$B:$B, A164,
  fact_sales_monthly!$C:$C, B164,
  fact_sales_monthly!$D:$D, C164
)</f>
        <v>110.4</v>
      </c>
      <c r="E164">
        <f t="shared" si="6"/>
        <v>110.4</v>
      </c>
      <c r="F164">
        <f t="shared" si="7"/>
        <v>27.6</v>
      </c>
      <c r="G164" t="str">
        <f t="shared" si="8"/>
        <v>2015-09</v>
      </c>
    </row>
    <row r="165" spans="1:7" x14ac:dyDescent="0.35">
      <c r="A165">
        <v>2015</v>
      </c>
      <c r="B165">
        <v>9</v>
      </c>
      <c r="C165" t="s">
        <v>4</v>
      </c>
      <c r="D165">
        <f>SUMIFS(
  fact_sales_monthly!$E:$E,
  fact_sales_monthly!$B:$B, A165,
  fact_sales_monthly!$C:$C, B165,
  fact_sales_monthly!$D:$D, C165
)</f>
        <v>852.125</v>
      </c>
      <c r="E165">
        <f t="shared" si="6"/>
        <v>852.125</v>
      </c>
      <c r="F165">
        <f t="shared" si="7"/>
        <v>213.03125</v>
      </c>
      <c r="G165" t="str">
        <f t="shared" si="8"/>
        <v>2015-09</v>
      </c>
    </row>
    <row r="166" spans="1:7" x14ac:dyDescent="0.35">
      <c r="A166">
        <v>2015</v>
      </c>
      <c r="B166">
        <v>9</v>
      </c>
      <c r="C166" t="s">
        <v>5</v>
      </c>
      <c r="D166">
        <f>SUMIFS(
  fact_sales_monthly!$E:$E,
  fact_sales_monthly!$B:$B, A166,
  fact_sales_monthly!$C:$C, B166,
  fact_sales_monthly!$D:$D, C166
)</f>
        <v>243.5</v>
      </c>
      <c r="E166">
        <f t="shared" si="6"/>
        <v>243.5</v>
      </c>
      <c r="F166">
        <f t="shared" si="7"/>
        <v>60.875</v>
      </c>
      <c r="G166" t="str">
        <f t="shared" si="8"/>
        <v>2015-09</v>
      </c>
    </row>
    <row r="167" spans="1:7" x14ac:dyDescent="0.35">
      <c r="A167">
        <v>2015</v>
      </c>
      <c r="B167">
        <v>9</v>
      </c>
      <c r="C167" t="s">
        <v>6</v>
      </c>
      <c r="D167">
        <f>SUMIFS(
  fact_sales_monthly!$E:$E,
  fact_sales_monthly!$B:$B, A167,
  fact_sales_monthly!$C:$C, B167,
  fact_sales_monthly!$D:$D, C167
)</f>
        <v>11</v>
      </c>
      <c r="E167">
        <f t="shared" si="6"/>
        <v>11</v>
      </c>
      <c r="F167">
        <f t="shared" si="7"/>
        <v>2.75</v>
      </c>
      <c r="G167" t="str">
        <f t="shared" si="8"/>
        <v>2015-09</v>
      </c>
    </row>
    <row r="168" spans="1:7" x14ac:dyDescent="0.35">
      <c r="A168">
        <v>2015</v>
      </c>
      <c r="B168">
        <v>9</v>
      </c>
      <c r="C168" t="s">
        <v>7</v>
      </c>
      <c r="D168">
        <f>SUMIFS(
  fact_sales_monthly!$E:$E,
  fact_sales_monthly!$B:$B, A168,
  fact_sales_monthly!$C:$C, B168,
  fact_sales_monthly!$D:$D, C168
)</f>
        <v>91</v>
      </c>
      <c r="E168">
        <f t="shared" si="6"/>
        <v>91</v>
      </c>
      <c r="F168">
        <f t="shared" si="7"/>
        <v>22.75</v>
      </c>
      <c r="G168" t="str">
        <f t="shared" si="8"/>
        <v>2015-09</v>
      </c>
    </row>
    <row r="169" spans="1:7" x14ac:dyDescent="0.35">
      <c r="A169">
        <v>2015</v>
      </c>
      <c r="B169">
        <v>9</v>
      </c>
      <c r="C169" t="s">
        <v>8</v>
      </c>
      <c r="D169">
        <f>SUMIFS(
  fact_sales_monthly!$E:$E,
  fact_sales_monthly!$B:$B, A169,
  fact_sales_monthly!$C:$C, B169,
  fact_sales_monthly!$D:$D, C169
)</f>
        <v>71</v>
      </c>
      <c r="E169">
        <f t="shared" si="6"/>
        <v>71</v>
      </c>
      <c r="F169">
        <f t="shared" si="7"/>
        <v>17.75</v>
      </c>
      <c r="G169" t="str">
        <f t="shared" si="8"/>
        <v>2015-09</v>
      </c>
    </row>
    <row r="170" spans="1:7" x14ac:dyDescent="0.35">
      <c r="A170">
        <v>2015</v>
      </c>
      <c r="B170">
        <v>10</v>
      </c>
      <c r="C170" t="s">
        <v>1</v>
      </c>
      <c r="D170">
        <f>SUMIFS(
  fact_sales_monthly!$E:$E,
  fact_sales_monthly!$B:$B, A170,
  fact_sales_monthly!$C:$C, B170,
  fact_sales_monthly!$D:$D, C170
)</f>
        <v>0</v>
      </c>
      <c r="E170">
        <f t="shared" si="6"/>
        <v>0</v>
      </c>
      <c r="F170">
        <f t="shared" si="7"/>
        <v>0</v>
      </c>
      <c r="G170" t="str">
        <f t="shared" si="8"/>
        <v>2015-10</v>
      </c>
    </row>
    <row r="171" spans="1:7" x14ac:dyDescent="0.35">
      <c r="A171">
        <v>2015</v>
      </c>
      <c r="B171">
        <v>10</v>
      </c>
      <c r="C171" t="s">
        <v>2</v>
      </c>
      <c r="D171">
        <f>SUMIFS(
  fact_sales_monthly!$E:$E,
  fact_sales_monthly!$B:$B, A171,
  fact_sales_monthly!$C:$C, B171,
  fact_sales_monthly!$D:$D, C171
)</f>
        <v>0</v>
      </c>
      <c r="E171">
        <f t="shared" si="6"/>
        <v>0</v>
      </c>
      <c r="F171">
        <f t="shared" si="7"/>
        <v>0</v>
      </c>
      <c r="G171" t="str">
        <f t="shared" si="8"/>
        <v>2015-10</v>
      </c>
    </row>
    <row r="172" spans="1:7" x14ac:dyDescent="0.35">
      <c r="A172">
        <v>2015</v>
      </c>
      <c r="B172">
        <v>10</v>
      </c>
      <c r="C172" t="s">
        <v>3</v>
      </c>
      <c r="D172">
        <f>SUMIFS(
  fact_sales_monthly!$E:$E,
  fact_sales_monthly!$B:$B, A172,
  fact_sales_monthly!$C:$C, B172,
  fact_sales_monthly!$D:$D, C172
)</f>
        <v>0</v>
      </c>
      <c r="E172">
        <f t="shared" si="6"/>
        <v>0</v>
      </c>
      <c r="F172">
        <f t="shared" si="7"/>
        <v>0</v>
      </c>
      <c r="G172" t="str">
        <f t="shared" si="8"/>
        <v>2015-10</v>
      </c>
    </row>
    <row r="173" spans="1:7" x14ac:dyDescent="0.35">
      <c r="A173">
        <v>2015</v>
      </c>
      <c r="B173">
        <v>10</v>
      </c>
      <c r="C173" t="s">
        <v>4</v>
      </c>
      <c r="D173">
        <f>SUMIFS(
  fact_sales_monthly!$E:$E,
  fact_sales_monthly!$B:$B, A173,
  fact_sales_monthly!$C:$C, B173,
  fact_sales_monthly!$D:$D, C173
)</f>
        <v>0</v>
      </c>
      <c r="E173">
        <f t="shared" si="6"/>
        <v>0</v>
      </c>
      <c r="F173">
        <f t="shared" si="7"/>
        <v>0</v>
      </c>
      <c r="G173" t="str">
        <f t="shared" si="8"/>
        <v>2015-10</v>
      </c>
    </row>
    <row r="174" spans="1:7" x14ac:dyDescent="0.35">
      <c r="A174">
        <v>2015</v>
      </c>
      <c r="B174">
        <v>10</v>
      </c>
      <c r="C174" t="s">
        <v>5</v>
      </c>
      <c r="D174">
        <f>SUMIFS(
  fact_sales_monthly!$E:$E,
  fact_sales_monthly!$B:$B, A174,
  fact_sales_monthly!$C:$C, B174,
  fact_sales_monthly!$D:$D, C174
)</f>
        <v>222</v>
      </c>
      <c r="E174">
        <f t="shared" si="6"/>
        <v>222</v>
      </c>
      <c r="F174">
        <f t="shared" si="7"/>
        <v>55.5</v>
      </c>
      <c r="G174" t="str">
        <f t="shared" si="8"/>
        <v>2015-10</v>
      </c>
    </row>
    <row r="175" spans="1:7" x14ac:dyDescent="0.35">
      <c r="A175">
        <v>2015</v>
      </c>
      <c r="B175">
        <v>10</v>
      </c>
      <c r="C175" t="s">
        <v>6</v>
      </c>
      <c r="D175">
        <f>SUMIFS(
  fact_sales_monthly!$E:$E,
  fact_sales_monthly!$B:$B, A175,
  fact_sales_monthly!$C:$C, B175,
  fact_sales_monthly!$D:$D, C175
)</f>
        <v>8</v>
      </c>
      <c r="E175">
        <f t="shared" si="6"/>
        <v>8</v>
      </c>
      <c r="F175">
        <f t="shared" si="7"/>
        <v>2</v>
      </c>
      <c r="G175" t="str">
        <f t="shared" si="8"/>
        <v>2015-10</v>
      </c>
    </row>
    <row r="176" spans="1:7" x14ac:dyDescent="0.35">
      <c r="A176">
        <v>2015</v>
      </c>
      <c r="B176">
        <v>10</v>
      </c>
      <c r="C176" t="s">
        <v>7</v>
      </c>
      <c r="D176">
        <f>SUMIFS(
  fact_sales_monthly!$E:$E,
  fact_sales_monthly!$B:$B, A176,
  fact_sales_monthly!$C:$C, B176,
  fact_sales_monthly!$D:$D, C176
)</f>
        <v>184</v>
      </c>
      <c r="E176">
        <f t="shared" si="6"/>
        <v>184</v>
      </c>
      <c r="F176">
        <f t="shared" si="7"/>
        <v>46</v>
      </c>
      <c r="G176" t="str">
        <f t="shared" si="8"/>
        <v>2015-10</v>
      </c>
    </row>
    <row r="177" spans="1:7" x14ac:dyDescent="0.35">
      <c r="A177">
        <v>2015</v>
      </c>
      <c r="B177">
        <v>10</v>
      </c>
      <c r="C177" t="s">
        <v>8</v>
      </c>
      <c r="D177">
        <f>SUMIFS(
  fact_sales_monthly!$E:$E,
  fact_sales_monthly!$B:$B, A177,
  fact_sales_monthly!$C:$C, B177,
  fact_sales_monthly!$D:$D, C177
)</f>
        <v>72</v>
      </c>
      <c r="E177">
        <f t="shared" si="6"/>
        <v>72</v>
      </c>
      <c r="F177">
        <f t="shared" si="7"/>
        <v>18</v>
      </c>
      <c r="G177" t="str">
        <f t="shared" si="8"/>
        <v>2015-10</v>
      </c>
    </row>
    <row r="178" spans="1:7" x14ac:dyDescent="0.35">
      <c r="A178">
        <v>2015</v>
      </c>
      <c r="B178">
        <v>11</v>
      </c>
      <c r="C178" t="s">
        <v>1</v>
      </c>
      <c r="D178">
        <f>SUMIFS(
  fact_sales_monthly!$E:$E,
  fact_sales_monthly!$B:$B, A178,
  fact_sales_monthly!$C:$C, B178,
  fact_sales_monthly!$D:$D, C178
)</f>
        <v>0</v>
      </c>
      <c r="E178">
        <f t="shared" si="6"/>
        <v>0</v>
      </c>
      <c r="F178">
        <f t="shared" si="7"/>
        <v>0</v>
      </c>
      <c r="G178" t="str">
        <f t="shared" si="8"/>
        <v>2015-11</v>
      </c>
    </row>
    <row r="179" spans="1:7" x14ac:dyDescent="0.35">
      <c r="A179">
        <v>2015</v>
      </c>
      <c r="B179">
        <v>11</v>
      </c>
      <c r="C179" t="s">
        <v>2</v>
      </c>
      <c r="D179">
        <f>SUMIFS(
  fact_sales_monthly!$E:$E,
  fact_sales_monthly!$B:$B, A179,
  fact_sales_monthly!$C:$C, B179,
  fact_sales_monthly!$D:$D, C179
)</f>
        <v>128.233</v>
      </c>
      <c r="E179">
        <f t="shared" si="6"/>
        <v>128.233</v>
      </c>
      <c r="F179">
        <f t="shared" si="7"/>
        <v>32.058250000000001</v>
      </c>
      <c r="G179" t="str">
        <f t="shared" si="8"/>
        <v>2015-11</v>
      </c>
    </row>
    <row r="180" spans="1:7" x14ac:dyDescent="0.35">
      <c r="A180">
        <v>2015</v>
      </c>
      <c r="B180">
        <v>11</v>
      </c>
      <c r="C180" t="s">
        <v>3</v>
      </c>
      <c r="D180">
        <f>SUMIFS(
  fact_sales_monthly!$E:$E,
  fact_sales_monthly!$B:$B, A180,
  fact_sales_monthly!$C:$C, B180,
  fact_sales_monthly!$D:$D, C180
)</f>
        <v>0</v>
      </c>
      <c r="E180">
        <f t="shared" si="6"/>
        <v>0</v>
      </c>
      <c r="F180">
        <f t="shared" si="7"/>
        <v>0</v>
      </c>
      <c r="G180" t="str">
        <f t="shared" si="8"/>
        <v>2015-11</v>
      </c>
    </row>
    <row r="181" spans="1:7" x14ac:dyDescent="0.35">
      <c r="A181">
        <v>2015</v>
      </c>
      <c r="B181">
        <v>11</v>
      </c>
      <c r="C181" t="s">
        <v>4</v>
      </c>
      <c r="D181">
        <f>SUMIFS(
  fact_sales_monthly!$E:$E,
  fact_sales_monthly!$B:$B, A181,
  fact_sales_monthly!$C:$C, B181,
  fact_sales_monthly!$D:$D, C181
)</f>
        <v>1277.7249999999999</v>
      </c>
      <c r="E181">
        <f t="shared" si="6"/>
        <v>1277.7249999999999</v>
      </c>
      <c r="F181">
        <f t="shared" si="7"/>
        <v>319.43124999999998</v>
      </c>
      <c r="G181" t="str">
        <f t="shared" si="8"/>
        <v>2015-11</v>
      </c>
    </row>
    <row r="182" spans="1:7" x14ac:dyDescent="0.35">
      <c r="A182">
        <v>2015</v>
      </c>
      <c r="B182">
        <v>11</v>
      </c>
      <c r="C182" t="s">
        <v>5</v>
      </c>
      <c r="D182">
        <f>SUMIFS(
  fact_sales_monthly!$E:$E,
  fact_sales_monthly!$B:$B, A182,
  fact_sales_monthly!$C:$C, B182,
  fact_sales_monthly!$D:$D, C182
)</f>
        <v>228</v>
      </c>
      <c r="E182">
        <f t="shared" si="6"/>
        <v>228</v>
      </c>
      <c r="F182">
        <f t="shared" si="7"/>
        <v>57</v>
      </c>
      <c r="G182" t="str">
        <f t="shared" si="8"/>
        <v>2015-11</v>
      </c>
    </row>
    <row r="183" spans="1:7" x14ac:dyDescent="0.35">
      <c r="A183">
        <v>2015</v>
      </c>
      <c r="B183">
        <v>11</v>
      </c>
      <c r="C183" t="s">
        <v>6</v>
      </c>
      <c r="D183">
        <f>SUMIFS(
  fact_sales_monthly!$E:$E,
  fact_sales_monthly!$B:$B, A183,
  fact_sales_monthly!$C:$C, B183,
  fact_sales_monthly!$D:$D, C183
)</f>
        <v>18</v>
      </c>
      <c r="E183">
        <f t="shared" si="6"/>
        <v>18</v>
      </c>
      <c r="F183">
        <f t="shared" si="7"/>
        <v>4.5</v>
      </c>
      <c r="G183" t="str">
        <f t="shared" si="8"/>
        <v>2015-11</v>
      </c>
    </row>
    <row r="184" spans="1:7" x14ac:dyDescent="0.35">
      <c r="A184">
        <v>2015</v>
      </c>
      <c r="B184">
        <v>11</v>
      </c>
      <c r="C184" t="s">
        <v>7</v>
      </c>
      <c r="D184">
        <f>SUMIFS(
  fact_sales_monthly!$E:$E,
  fact_sales_monthly!$B:$B, A184,
  fact_sales_monthly!$C:$C, B184,
  fact_sales_monthly!$D:$D, C184
)</f>
        <v>195</v>
      </c>
      <c r="E184">
        <f t="shared" si="6"/>
        <v>195</v>
      </c>
      <c r="F184">
        <f t="shared" si="7"/>
        <v>48.75</v>
      </c>
      <c r="G184" t="str">
        <f t="shared" si="8"/>
        <v>2015-11</v>
      </c>
    </row>
    <row r="185" spans="1:7" x14ac:dyDescent="0.35">
      <c r="A185">
        <v>2015</v>
      </c>
      <c r="B185">
        <v>11</v>
      </c>
      <c r="C185" t="s">
        <v>8</v>
      </c>
      <c r="D185">
        <f>SUMIFS(
  fact_sales_monthly!$E:$E,
  fact_sales_monthly!$B:$B, A185,
  fact_sales_monthly!$C:$C, B185,
  fact_sales_monthly!$D:$D, C185
)</f>
        <v>44</v>
      </c>
      <c r="E185">
        <f t="shared" si="6"/>
        <v>44</v>
      </c>
      <c r="F185">
        <f t="shared" si="7"/>
        <v>11</v>
      </c>
      <c r="G185" t="str">
        <f t="shared" si="8"/>
        <v>2015-11</v>
      </c>
    </row>
    <row r="186" spans="1:7" x14ac:dyDescent="0.35">
      <c r="A186">
        <v>2015</v>
      </c>
      <c r="B186">
        <v>12</v>
      </c>
      <c r="C186" t="s">
        <v>1</v>
      </c>
      <c r="D186">
        <f>SUMIFS(
  fact_sales_monthly!$E:$E,
  fact_sales_monthly!$B:$B, A186,
  fact_sales_monthly!$C:$C, B186,
  fact_sales_monthly!$D:$D, C186
)</f>
        <v>0</v>
      </c>
      <c r="E186">
        <f t="shared" si="6"/>
        <v>0</v>
      </c>
      <c r="F186">
        <f t="shared" si="7"/>
        <v>0</v>
      </c>
      <c r="G186" t="str">
        <f t="shared" si="8"/>
        <v>2015-12</v>
      </c>
    </row>
    <row r="187" spans="1:7" x14ac:dyDescent="0.35">
      <c r="A187">
        <v>2015</v>
      </c>
      <c r="B187">
        <v>12</v>
      </c>
      <c r="C187" t="s">
        <v>2</v>
      </c>
      <c r="D187">
        <f>SUMIFS(
  fact_sales_monthly!$E:$E,
  fact_sales_monthly!$B:$B, A187,
  fact_sales_monthly!$C:$C, B187,
  fact_sales_monthly!$D:$D, C187
)</f>
        <v>0</v>
      </c>
      <c r="E187">
        <f t="shared" si="6"/>
        <v>0</v>
      </c>
      <c r="F187">
        <f t="shared" si="7"/>
        <v>0</v>
      </c>
      <c r="G187" t="str">
        <f t="shared" si="8"/>
        <v>2015-12</v>
      </c>
    </row>
    <row r="188" spans="1:7" x14ac:dyDescent="0.35">
      <c r="A188">
        <v>2015</v>
      </c>
      <c r="B188">
        <v>12</v>
      </c>
      <c r="C188" t="s">
        <v>3</v>
      </c>
      <c r="D188">
        <f>SUMIFS(
  fact_sales_monthly!$E:$E,
  fact_sales_monthly!$B:$B, A188,
  fact_sales_monthly!$C:$C, B188,
  fact_sales_monthly!$D:$D, C188
)</f>
        <v>0</v>
      </c>
      <c r="E188">
        <f t="shared" si="6"/>
        <v>0</v>
      </c>
      <c r="F188">
        <f t="shared" si="7"/>
        <v>0</v>
      </c>
      <c r="G188" t="str">
        <f t="shared" si="8"/>
        <v>2015-12</v>
      </c>
    </row>
    <row r="189" spans="1:7" x14ac:dyDescent="0.35">
      <c r="A189">
        <v>2015</v>
      </c>
      <c r="B189">
        <v>12</v>
      </c>
      <c r="C189" t="s">
        <v>4</v>
      </c>
      <c r="D189">
        <f>SUMIFS(
  fact_sales_monthly!$E:$E,
  fact_sales_monthly!$B:$B, A189,
  fact_sales_monthly!$C:$C, B189,
  fact_sales_monthly!$D:$D, C189
)</f>
        <v>0</v>
      </c>
      <c r="E189">
        <f t="shared" si="6"/>
        <v>0</v>
      </c>
      <c r="F189">
        <f t="shared" si="7"/>
        <v>0</v>
      </c>
      <c r="G189" t="str">
        <f t="shared" si="8"/>
        <v>2015-12</v>
      </c>
    </row>
    <row r="190" spans="1:7" x14ac:dyDescent="0.35">
      <c r="A190">
        <v>2015</v>
      </c>
      <c r="B190">
        <v>12</v>
      </c>
      <c r="C190" t="s">
        <v>5</v>
      </c>
      <c r="D190">
        <f>SUMIFS(
  fact_sales_monthly!$E:$E,
  fact_sales_monthly!$B:$B, A190,
  fact_sales_monthly!$C:$C, B190,
  fact_sales_monthly!$D:$D, C190
)</f>
        <v>286</v>
      </c>
      <c r="E190">
        <f t="shared" si="6"/>
        <v>286</v>
      </c>
      <c r="F190">
        <f t="shared" si="7"/>
        <v>71.5</v>
      </c>
      <c r="G190" t="str">
        <f t="shared" si="8"/>
        <v>2015-12</v>
      </c>
    </row>
    <row r="191" spans="1:7" x14ac:dyDescent="0.35">
      <c r="A191">
        <v>2015</v>
      </c>
      <c r="B191">
        <v>12</v>
      </c>
      <c r="C191" t="s">
        <v>6</v>
      </c>
      <c r="D191">
        <f>SUMIFS(
  fact_sales_monthly!$E:$E,
  fact_sales_monthly!$B:$B, A191,
  fact_sales_monthly!$C:$C, B191,
  fact_sales_monthly!$D:$D, C191
)</f>
        <v>28</v>
      </c>
      <c r="E191">
        <f t="shared" si="6"/>
        <v>28</v>
      </c>
      <c r="F191">
        <f t="shared" si="7"/>
        <v>7</v>
      </c>
      <c r="G191" t="str">
        <f t="shared" si="8"/>
        <v>2015-12</v>
      </c>
    </row>
    <row r="192" spans="1:7" x14ac:dyDescent="0.35">
      <c r="A192">
        <v>2015</v>
      </c>
      <c r="B192">
        <v>12</v>
      </c>
      <c r="C192" t="s">
        <v>7</v>
      </c>
      <c r="D192">
        <f>SUMIFS(
  fact_sales_monthly!$E:$E,
  fact_sales_monthly!$B:$B, A192,
  fact_sales_monthly!$C:$C, B192,
  fact_sales_monthly!$D:$D, C192
)</f>
        <v>231</v>
      </c>
      <c r="E192">
        <f t="shared" si="6"/>
        <v>231</v>
      </c>
      <c r="F192">
        <f t="shared" si="7"/>
        <v>57.75</v>
      </c>
      <c r="G192" t="str">
        <f t="shared" si="8"/>
        <v>2015-12</v>
      </c>
    </row>
    <row r="193" spans="1:7" x14ac:dyDescent="0.35">
      <c r="A193">
        <v>2015</v>
      </c>
      <c r="B193">
        <v>12</v>
      </c>
      <c r="C193" t="s">
        <v>8</v>
      </c>
      <c r="D193">
        <f>SUMIFS(
  fact_sales_monthly!$E:$E,
  fact_sales_monthly!$B:$B, A193,
  fact_sales_monthly!$C:$C, B193,
  fact_sales_monthly!$D:$D, C193
)</f>
        <v>41.73</v>
      </c>
      <c r="E193">
        <f t="shared" si="6"/>
        <v>41.73</v>
      </c>
      <c r="F193">
        <f t="shared" si="7"/>
        <v>10.432499999999999</v>
      </c>
      <c r="G193" t="str">
        <f t="shared" si="8"/>
        <v>2015-12</v>
      </c>
    </row>
    <row r="194" spans="1:7" x14ac:dyDescent="0.35">
      <c r="A194">
        <v>2016</v>
      </c>
      <c r="B194">
        <v>1</v>
      </c>
      <c r="C194" t="s">
        <v>1</v>
      </c>
      <c r="D194">
        <f>SUMIFS(
  fact_sales_monthly!$E:$E,
  fact_sales_monthly!$B:$B, A194,
  fact_sales_monthly!$C:$C, B194,
  fact_sales_monthly!$D:$D, C194
)</f>
        <v>0</v>
      </c>
      <c r="E194">
        <f t="shared" si="6"/>
        <v>0</v>
      </c>
      <c r="F194">
        <f t="shared" si="7"/>
        <v>0</v>
      </c>
      <c r="G194" t="str">
        <f t="shared" si="8"/>
        <v>2016-01</v>
      </c>
    </row>
    <row r="195" spans="1:7" x14ac:dyDescent="0.35">
      <c r="A195">
        <v>2016</v>
      </c>
      <c r="B195">
        <v>1</v>
      </c>
      <c r="C195" t="s">
        <v>2</v>
      </c>
      <c r="D195">
        <f>SUMIFS(
  fact_sales_monthly!$E:$E,
  fact_sales_monthly!$B:$B, A195,
  fact_sales_monthly!$C:$C, B195,
  fact_sales_monthly!$D:$D, C195
)</f>
        <v>128.40199999999999</v>
      </c>
      <c r="E195">
        <f t="shared" ref="E195:E258" si="9">D195 * 1</f>
        <v>128.40199999999999</v>
      </c>
      <c r="F195">
        <f t="shared" ref="F195:F258" si="10">D195 * 0.25</f>
        <v>32.100499999999997</v>
      </c>
      <c r="G195" t="str">
        <f t="shared" ref="G195:G258" si="11">TEXT(DATE(A195, B195, 1), "yyyy-mm")</f>
        <v>2016-01</v>
      </c>
    </row>
    <row r="196" spans="1:7" x14ac:dyDescent="0.35">
      <c r="A196">
        <v>2016</v>
      </c>
      <c r="B196">
        <v>1</v>
      </c>
      <c r="C196" t="s">
        <v>3</v>
      </c>
      <c r="D196">
        <f>SUMIFS(
  fact_sales_monthly!$E:$E,
  fact_sales_monthly!$B:$B, A196,
  fact_sales_monthly!$C:$C, B196,
  fact_sales_monthly!$D:$D, C196
)</f>
        <v>0</v>
      </c>
      <c r="E196">
        <f t="shared" si="9"/>
        <v>0</v>
      </c>
      <c r="F196">
        <f t="shared" si="10"/>
        <v>0</v>
      </c>
      <c r="G196" t="str">
        <f t="shared" si="11"/>
        <v>2016-01</v>
      </c>
    </row>
    <row r="197" spans="1:7" x14ac:dyDescent="0.35">
      <c r="A197">
        <v>2016</v>
      </c>
      <c r="B197">
        <v>1</v>
      </c>
      <c r="C197" t="s">
        <v>4</v>
      </c>
      <c r="D197">
        <f>SUMIFS(
  fact_sales_monthly!$E:$E,
  fact_sales_monthly!$B:$B, A197,
  fact_sales_monthly!$C:$C, B197,
  fact_sales_monthly!$D:$D, C197
)</f>
        <v>0</v>
      </c>
      <c r="E197">
        <f t="shared" si="9"/>
        <v>0</v>
      </c>
      <c r="F197">
        <f t="shared" si="10"/>
        <v>0</v>
      </c>
      <c r="G197" t="str">
        <f t="shared" si="11"/>
        <v>2016-01</v>
      </c>
    </row>
    <row r="198" spans="1:7" x14ac:dyDescent="0.35">
      <c r="A198">
        <v>2016</v>
      </c>
      <c r="B198">
        <v>1</v>
      </c>
      <c r="C198" t="s">
        <v>5</v>
      </c>
      <c r="D198">
        <f>SUMIFS(
  fact_sales_monthly!$E:$E,
  fact_sales_monthly!$B:$B, A198,
  fact_sales_monthly!$C:$C, B198,
  fact_sales_monthly!$D:$D, C198
)</f>
        <v>248</v>
      </c>
      <c r="E198">
        <f t="shared" si="9"/>
        <v>248</v>
      </c>
      <c r="F198">
        <f t="shared" si="10"/>
        <v>62</v>
      </c>
      <c r="G198" t="str">
        <f t="shared" si="11"/>
        <v>2016-01</v>
      </c>
    </row>
    <row r="199" spans="1:7" x14ac:dyDescent="0.35">
      <c r="A199">
        <v>2016</v>
      </c>
      <c r="B199">
        <v>1</v>
      </c>
      <c r="C199" t="s">
        <v>6</v>
      </c>
      <c r="D199">
        <f>SUMIFS(
  fact_sales_monthly!$E:$E,
  fact_sales_monthly!$B:$B, A199,
  fact_sales_monthly!$C:$C, B199,
  fact_sales_monthly!$D:$D, C199
)</f>
        <v>24</v>
      </c>
      <c r="E199">
        <f t="shared" si="9"/>
        <v>24</v>
      </c>
      <c r="F199">
        <f t="shared" si="10"/>
        <v>6</v>
      </c>
      <c r="G199" t="str">
        <f t="shared" si="11"/>
        <v>2016-01</v>
      </c>
    </row>
    <row r="200" spans="1:7" x14ac:dyDescent="0.35">
      <c r="A200">
        <v>2016</v>
      </c>
      <c r="B200">
        <v>1</v>
      </c>
      <c r="C200" t="s">
        <v>7</v>
      </c>
      <c r="D200">
        <f>SUMIFS(
  fact_sales_monthly!$E:$E,
  fact_sales_monthly!$B:$B, A200,
  fact_sales_monthly!$C:$C, B200,
  fact_sales_monthly!$D:$D, C200
)</f>
        <v>174</v>
      </c>
      <c r="E200">
        <f t="shared" si="9"/>
        <v>174</v>
      </c>
      <c r="F200">
        <f t="shared" si="10"/>
        <v>43.5</v>
      </c>
      <c r="G200" t="str">
        <f t="shared" si="11"/>
        <v>2016-01</v>
      </c>
    </row>
    <row r="201" spans="1:7" x14ac:dyDescent="0.35">
      <c r="A201">
        <v>2016</v>
      </c>
      <c r="B201">
        <v>1</v>
      </c>
      <c r="C201" t="s">
        <v>8</v>
      </c>
      <c r="D201">
        <f>SUMIFS(
  fact_sales_monthly!$E:$E,
  fact_sales_monthly!$B:$B, A201,
  fact_sales_monthly!$C:$C, B201,
  fact_sales_monthly!$D:$D, C201
)</f>
        <v>56.5</v>
      </c>
      <c r="E201">
        <f t="shared" si="9"/>
        <v>56.5</v>
      </c>
      <c r="F201">
        <f t="shared" si="10"/>
        <v>14.125</v>
      </c>
      <c r="G201" t="str">
        <f t="shared" si="11"/>
        <v>2016-01</v>
      </c>
    </row>
    <row r="202" spans="1:7" x14ac:dyDescent="0.35">
      <c r="A202">
        <v>2016</v>
      </c>
      <c r="B202">
        <v>2</v>
      </c>
      <c r="C202" t="s">
        <v>1</v>
      </c>
      <c r="D202">
        <f>SUMIFS(
  fact_sales_monthly!$E:$E,
  fact_sales_monthly!$B:$B, A202,
  fact_sales_monthly!$C:$C, B202,
  fact_sales_monthly!$D:$D, C202
)</f>
        <v>0</v>
      </c>
      <c r="E202">
        <f t="shared" si="9"/>
        <v>0</v>
      </c>
      <c r="F202">
        <f t="shared" si="10"/>
        <v>0</v>
      </c>
      <c r="G202" t="str">
        <f t="shared" si="11"/>
        <v>2016-02</v>
      </c>
    </row>
    <row r="203" spans="1:7" x14ac:dyDescent="0.35">
      <c r="A203">
        <v>2016</v>
      </c>
      <c r="B203">
        <v>2</v>
      </c>
      <c r="C203" t="s">
        <v>2</v>
      </c>
      <c r="D203">
        <f>SUMIFS(
  fact_sales_monthly!$E:$E,
  fact_sales_monthly!$B:$B, A203,
  fact_sales_monthly!$C:$C, B203,
  fact_sales_monthly!$D:$D, C203
)</f>
        <v>137.52799999999999</v>
      </c>
      <c r="E203">
        <f t="shared" si="9"/>
        <v>137.52799999999999</v>
      </c>
      <c r="F203">
        <f t="shared" si="10"/>
        <v>34.381999999999998</v>
      </c>
      <c r="G203" t="str">
        <f t="shared" si="11"/>
        <v>2016-02</v>
      </c>
    </row>
    <row r="204" spans="1:7" x14ac:dyDescent="0.35">
      <c r="A204">
        <v>2016</v>
      </c>
      <c r="B204">
        <v>2</v>
      </c>
      <c r="C204" t="s">
        <v>3</v>
      </c>
      <c r="D204">
        <f>SUMIFS(
  fact_sales_monthly!$E:$E,
  fact_sales_monthly!$B:$B, A204,
  fact_sales_monthly!$C:$C, B204,
  fact_sales_monthly!$D:$D, C204
)</f>
        <v>0</v>
      </c>
      <c r="E204">
        <f t="shared" si="9"/>
        <v>0</v>
      </c>
      <c r="F204">
        <f t="shared" si="10"/>
        <v>0</v>
      </c>
      <c r="G204" t="str">
        <f t="shared" si="11"/>
        <v>2016-02</v>
      </c>
    </row>
    <row r="205" spans="1:7" x14ac:dyDescent="0.35">
      <c r="A205">
        <v>2016</v>
      </c>
      <c r="B205">
        <v>2</v>
      </c>
      <c r="C205" t="s">
        <v>4</v>
      </c>
      <c r="D205">
        <f>SUMIFS(
  fact_sales_monthly!$E:$E,
  fact_sales_monthly!$B:$B, A205,
  fact_sales_monthly!$C:$C, B205,
  fact_sales_monthly!$D:$D, C205
)</f>
        <v>0</v>
      </c>
      <c r="E205">
        <f t="shared" si="9"/>
        <v>0</v>
      </c>
      <c r="F205">
        <f t="shared" si="10"/>
        <v>0</v>
      </c>
      <c r="G205" t="str">
        <f t="shared" si="11"/>
        <v>2016-02</v>
      </c>
    </row>
    <row r="206" spans="1:7" x14ac:dyDescent="0.35">
      <c r="A206">
        <v>2016</v>
      </c>
      <c r="B206">
        <v>2</v>
      </c>
      <c r="C206" t="s">
        <v>5</v>
      </c>
      <c r="D206">
        <f>SUMIFS(
  fact_sales_monthly!$E:$E,
  fact_sales_monthly!$B:$B, A206,
  fact_sales_monthly!$C:$C, B206,
  fact_sales_monthly!$D:$D, C206
)</f>
        <v>239</v>
      </c>
      <c r="E206">
        <f t="shared" si="9"/>
        <v>239</v>
      </c>
      <c r="F206">
        <f t="shared" si="10"/>
        <v>59.75</v>
      </c>
      <c r="G206" t="str">
        <f t="shared" si="11"/>
        <v>2016-02</v>
      </c>
    </row>
    <row r="207" spans="1:7" x14ac:dyDescent="0.35">
      <c r="A207">
        <v>2016</v>
      </c>
      <c r="B207">
        <v>2</v>
      </c>
      <c r="C207" t="s">
        <v>6</v>
      </c>
      <c r="D207">
        <f>SUMIFS(
  fact_sales_monthly!$E:$E,
  fact_sales_monthly!$B:$B, A207,
  fact_sales_monthly!$C:$C, B207,
  fact_sales_monthly!$D:$D, C207
)</f>
        <v>20</v>
      </c>
      <c r="E207">
        <f t="shared" si="9"/>
        <v>20</v>
      </c>
      <c r="F207">
        <f t="shared" si="10"/>
        <v>5</v>
      </c>
      <c r="G207" t="str">
        <f t="shared" si="11"/>
        <v>2016-02</v>
      </c>
    </row>
    <row r="208" spans="1:7" x14ac:dyDescent="0.35">
      <c r="A208">
        <v>2016</v>
      </c>
      <c r="B208">
        <v>2</v>
      </c>
      <c r="C208" t="s">
        <v>7</v>
      </c>
      <c r="D208">
        <f>SUMIFS(
  fact_sales_monthly!$E:$E,
  fact_sales_monthly!$B:$B, A208,
  fact_sales_monthly!$C:$C, B208,
  fact_sales_monthly!$D:$D, C208
)</f>
        <v>245</v>
      </c>
      <c r="E208">
        <f t="shared" si="9"/>
        <v>245</v>
      </c>
      <c r="F208">
        <f t="shared" si="10"/>
        <v>61.25</v>
      </c>
      <c r="G208" t="str">
        <f t="shared" si="11"/>
        <v>2016-02</v>
      </c>
    </row>
    <row r="209" spans="1:7" x14ac:dyDescent="0.35">
      <c r="A209">
        <v>2016</v>
      </c>
      <c r="B209">
        <v>2</v>
      </c>
      <c r="C209" t="s">
        <v>8</v>
      </c>
      <c r="D209">
        <f>SUMIFS(
  fact_sales_monthly!$E:$E,
  fact_sales_monthly!$B:$B, A209,
  fact_sales_monthly!$C:$C, B209,
  fact_sales_monthly!$D:$D, C209
)</f>
        <v>58</v>
      </c>
      <c r="E209">
        <f t="shared" si="9"/>
        <v>58</v>
      </c>
      <c r="F209">
        <f t="shared" si="10"/>
        <v>14.5</v>
      </c>
      <c r="G209" t="str">
        <f t="shared" si="11"/>
        <v>2016-02</v>
      </c>
    </row>
    <row r="210" spans="1:7" x14ac:dyDescent="0.35">
      <c r="A210">
        <v>2016</v>
      </c>
      <c r="B210">
        <v>3</v>
      </c>
      <c r="C210" t="s">
        <v>1</v>
      </c>
      <c r="D210">
        <f>SUMIFS(
  fact_sales_monthly!$E:$E,
  fact_sales_monthly!$B:$B, A210,
  fact_sales_monthly!$C:$C, B210,
  fact_sales_monthly!$D:$D, C210
)</f>
        <v>0</v>
      </c>
      <c r="E210">
        <f t="shared" si="9"/>
        <v>0</v>
      </c>
      <c r="F210">
        <f t="shared" si="10"/>
        <v>0</v>
      </c>
      <c r="G210" t="str">
        <f t="shared" si="11"/>
        <v>2016-03</v>
      </c>
    </row>
    <row r="211" spans="1:7" x14ac:dyDescent="0.35">
      <c r="A211">
        <v>2016</v>
      </c>
      <c r="B211">
        <v>3</v>
      </c>
      <c r="C211" t="s">
        <v>2</v>
      </c>
      <c r="D211">
        <f>SUMIFS(
  fact_sales_monthly!$E:$E,
  fact_sales_monthly!$B:$B, A211,
  fact_sales_monthly!$C:$C, B211,
  fact_sales_monthly!$D:$D, C211
)</f>
        <v>0</v>
      </c>
      <c r="E211">
        <f t="shared" si="9"/>
        <v>0</v>
      </c>
      <c r="F211">
        <f t="shared" si="10"/>
        <v>0</v>
      </c>
      <c r="G211" t="str">
        <f t="shared" si="11"/>
        <v>2016-03</v>
      </c>
    </row>
    <row r="212" spans="1:7" x14ac:dyDescent="0.35">
      <c r="A212">
        <v>2016</v>
      </c>
      <c r="B212">
        <v>3</v>
      </c>
      <c r="C212" t="s">
        <v>3</v>
      </c>
      <c r="D212">
        <f>SUMIFS(
  fact_sales_monthly!$E:$E,
  fact_sales_monthly!$B:$B, A212,
  fact_sales_monthly!$C:$C, B212,
  fact_sales_monthly!$D:$D, C212
)</f>
        <v>148.4</v>
      </c>
      <c r="E212">
        <f t="shared" si="9"/>
        <v>148.4</v>
      </c>
      <c r="F212">
        <f t="shared" si="10"/>
        <v>37.1</v>
      </c>
      <c r="G212" t="str">
        <f t="shared" si="11"/>
        <v>2016-03</v>
      </c>
    </row>
    <row r="213" spans="1:7" x14ac:dyDescent="0.35">
      <c r="A213">
        <v>2016</v>
      </c>
      <c r="B213">
        <v>3</v>
      </c>
      <c r="C213" t="s">
        <v>4</v>
      </c>
      <c r="D213">
        <f>SUMIFS(
  fact_sales_monthly!$E:$E,
  fact_sales_monthly!$B:$B, A213,
  fact_sales_monthly!$C:$C, B213,
  fact_sales_monthly!$D:$D, C213
)</f>
        <v>0</v>
      </c>
      <c r="E213">
        <f t="shared" si="9"/>
        <v>0</v>
      </c>
      <c r="F213">
        <f t="shared" si="10"/>
        <v>0</v>
      </c>
      <c r="G213" t="str">
        <f t="shared" si="11"/>
        <v>2016-03</v>
      </c>
    </row>
    <row r="214" spans="1:7" x14ac:dyDescent="0.35">
      <c r="A214">
        <v>2016</v>
      </c>
      <c r="B214">
        <v>3</v>
      </c>
      <c r="C214" t="s">
        <v>5</v>
      </c>
      <c r="D214">
        <f>SUMIFS(
  fact_sales_monthly!$E:$E,
  fact_sales_monthly!$B:$B, A214,
  fact_sales_monthly!$C:$C, B214,
  fact_sales_monthly!$D:$D, C214
)</f>
        <v>250</v>
      </c>
      <c r="E214">
        <f t="shared" si="9"/>
        <v>250</v>
      </c>
      <c r="F214">
        <f t="shared" si="10"/>
        <v>62.5</v>
      </c>
      <c r="G214" t="str">
        <f t="shared" si="11"/>
        <v>2016-03</v>
      </c>
    </row>
    <row r="215" spans="1:7" x14ac:dyDescent="0.35">
      <c r="A215">
        <v>2016</v>
      </c>
      <c r="B215">
        <v>3</v>
      </c>
      <c r="C215" t="s">
        <v>6</v>
      </c>
      <c r="D215">
        <f>SUMIFS(
  fact_sales_monthly!$E:$E,
  fact_sales_monthly!$B:$B, A215,
  fact_sales_monthly!$C:$C, B215,
  fact_sales_monthly!$D:$D, C215
)</f>
        <v>13</v>
      </c>
      <c r="E215">
        <f t="shared" si="9"/>
        <v>13</v>
      </c>
      <c r="F215">
        <f t="shared" si="10"/>
        <v>3.25</v>
      </c>
      <c r="G215" t="str">
        <f t="shared" si="11"/>
        <v>2016-03</v>
      </c>
    </row>
    <row r="216" spans="1:7" x14ac:dyDescent="0.35">
      <c r="A216">
        <v>2016</v>
      </c>
      <c r="B216">
        <v>3</v>
      </c>
      <c r="C216" t="s">
        <v>7</v>
      </c>
      <c r="D216">
        <f>SUMIFS(
  fact_sales_monthly!$E:$E,
  fact_sales_monthly!$B:$B, A216,
  fact_sales_monthly!$C:$C, B216,
  fact_sales_monthly!$D:$D, C216
)</f>
        <v>253</v>
      </c>
      <c r="E216">
        <f t="shared" si="9"/>
        <v>253</v>
      </c>
      <c r="F216">
        <f t="shared" si="10"/>
        <v>63.25</v>
      </c>
      <c r="G216" t="str">
        <f t="shared" si="11"/>
        <v>2016-03</v>
      </c>
    </row>
    <row r="217" spans="1:7" x14ac:dyDescent="0.35">
      <c r="A217">
        <v>2016</v>
      </c>
      <c r="B217">
        <v>3</v>
      </c>
      <c r="C217" t="s">
        <v>8</v>
      </c>
      <c r="D217">
        <f>SUMIFS(
  fact_sales_monthly!$E:$E,
  fact_sales_monthly!$B:$B, A217,
  fact_sales_monthly!$C:$C, B217,
  fact_sales_monthly!$D:$D, C217
)</f>
        <v>97.84</v>
      </c>
      <c r="E217">
        <f t="shared" si="9"/>
        <v>97.84</v>
      </c>
      <c r="F217">
        <f t="shared" si="10"/>
        <v>24.46</v>
      </c>
      <c r="G217" t="str">
        <f t="shared" si="11"/>
        <v>2016-03</v>
      </c>
    </row>
    <row r="218" spans="1:7" x14ac:dyDescent="0.35">
      <c r="A218">
        <v>2016</v>
      </c>
      <c r="B218">
        <v>4</v>
      </c>
      <c r="C218" t="s">
        <v>1</v>
      </c>
      <c r="D218">
        <f>SUMIFS(
  fact_sales_monthly!$E:$E,
  fact_sales_monthly!$B:$B, A218,
  fact_sales_monthly!$C:$C, B218,
  fact_sales_monthly!$D:$D, C218
)</f>
        <v>0</v>
      </c>
      <c r="E218">
        <f t="shared" si="9"/>
        <v>0</v>
      </c>
      <c r="F218">
        <f t="shared" si="10"/>
        <v>0</v>
      </c>
      <c r="G218" t="str">
        <f t="shared" si="11"/>
        <v>2016-04</v>
      </c>
    </row>
    <row r="219" spans="1:7" x14ac:dyDescent="0.35">
      <c r="A219">
        <v>2016</v>
      </c>
      <c r="B219">
        <v>4</v>
      </c>
      <c r="C219" t="s">
        <v>2</v>
      </c>
      <c r="D219">
        <f>SUMIFS(
  fact_sales_monthly!$E:$E,
  fact_sales_monthly!$B:$B, A219,
  fact_sales_monthly!$C:$C, B219,
  fact_sales_monthly!$D:$D, C219
)</f>
        <v>0</v>
      </c>
      <c r="E219">
        <f t="shared" si="9"/>
        <v>0</v>
      </c>
      <c r="F219">
        <f t="shared" si="10"/>
        <v>0</v>
      </c>
      <c r="G219" t="str">
        <f t="shared" si="11"/>
        <v>2016-04</v>
      </c>
    </row>
    <row r="220" spans="1:7" x14ac:dyDescent="0.35">
      <c r="A220">
        <v>2016</v>
      </c>
      <c r="B220">
        <v>4</v>
      </c>
      <c r="C220" t="s">
        <v>3</v>
      </c>
      <c r="D220">
        <f>SUMIFS(
  fact_sales_monthly!$E:$E,
  fact_sales_monthly!$B:$B, A220,
  fact_sales_monthly!$C:$C, B220,
  fact_sales_monthly!$D:$D, C220
)</f>
        <v>147.69999999999999</v>
      </c>
      <c r="E220">
        <f t="shared" si="9"/>
        <v>147.69999999999999</v>
      </c>
      <c r="F220">
        <f t="shared" si="10"/>
        <v>36.924999999999997</v>
      </c>
      <c r="G220" t="str">
        <f t="shared" si="11"/>
        <v>2016-04</v>
      </c>
    </row>
    <row r="221" spans="1:7" x14ac:dyDescent="0.35">
      <c r="A221">
        <v>2016</v>
      </c>
      <c r="B221">
        <v>4</v>
      </c>
      <c r="C221" t="s">
        <v>4</v>
      </c>
      <c r="D221">
        <f>SUMIFS(
  fact_sales_monthly!$E:$E,
  fact_sales_monthly!$B:$B, A221,
  fact_sales_monthly!$C:$C, B221,
  fact_sales_monthly!$D:$D, C221
)</f>
        <v>0</v>
      </c>
      <c r="E221">
        <f t="shared" si="9"/>
        <v>0</v>
      </c>
      <c r="F221">
        <f t="shared" si="10"/>
        <v>0</v>
      </c>
      <c r="G221" t="str">
        <f t="shared" si="11"/>
        <v>2016-04</v>
      </c>
    </row>
    <row r="222" spans="1:7" x14ac:dyDescent="0.35">
      <c r="A222">
        <v>2016</v>
      </c>
      <c r="B222">
        <v>4</v>
      </c>
      <c r="C222" t="s">
        <v>5</v>
      </c>
      <c r="D222">
        <f>SUMIFS(
  fact_sales_monthly!$E:$E,
  fact_sales_monthly!$B:$B, A222,
  fact_sales_monthly!$C:$C, B222,
  fact_sales_monthly!$D:$D, C222
)</f>
        <v>318</v>
      </c>
      <c r="E222">
        <f t="shared" si="9"/>
        <v>318</v>
      </c>
      <c r="F222">
        <f t="shared" si="10"/>
        <v>79.5</v>
      </c>
      <c r="G222" t="str">
        <f t="shared" si="11"/>
        <v>2016-04</v>
      </c>
    </row>
    <row r="223" spans="1:7" x14ac:dyDescent="0.35">
      <c r="A223">
        <v>2016</v>
      </c>
      <c r="B223">
        <v>4</v>
      </c>
      <c r="C223" t="s">
        <v>6</v>
      </c>
      <c r="D223">
        <f>SUMIFS(
  fact_sales_monthly!$E:$E,
  fact_sales_monthly!$B:$B, A223,
  fact_sales_monthly!$C:$C, B223,
  fact_sales_monthly!$D:$D, C223
)</f>
        <v>18</v>
      </c>
      <c r="E223">
        <f t="shared" si="9"/>
        <v>18</v>
      </c>
      <c r="F223">
        <f t="shared" si="10"/>
        <v>4.5</v>
      </c>
      <c r="G223" t="str">
        <f t="shared" si="11"/>
        <v>2016-04</v>
      </c>
    </row>
    <row r="224" spans="1:7" x14ac:dyDescent="0.35">
      <c r="A224">
        <v>2016</v>
      </c>
      <c r="B224">
        <v>4</v>
      </c>
      <c r="C224" t="s">
        <v>7</v>
      </c>
      <c r="D224">
        <f>SUMIFS(
  fact_sales_monthly!$E:$E,
  fact_sales_monthly!$B:$B, A224,
  fact_sales_monthly!$C:$C, B224,
  fact_sales_monthly!$D:$D, C224
)</f>
        <v>216</v>
      </c>
      <c r="E224">
        <f t="shared" si="9"/>
        <v>216</v>
      </c>
      <c r="F224">
        <f t="shared" si="10"/>
        <v>54</v>
      </c>
      <c r="G224" t="str">
        <f t="shared" si="11"/>
        <v>2016-04</v>
      </c>
    </row>
    <row r="225" spans="1:7" x14ac:dyDescent="0.35">
      <c r="A225">
        <v>2016</v>
      </c>
      <c r="B225">
        <v>4</v>
      </c>
      <c r="C225" t="s">
        <v>8</v>
      </c>
      <c r="D225">
        <f>SUMIFS(
  fact_sales_monthly!$E:$E,
  fact_sales_monthly!$B:$B, A225,
  fact_sales_monthly!$C:$C, B225,
  fact_sales_monthly!$D:$D, C225
)</f>
        <v>0</v>
      </c>
      <c r="E225">
        <f t="shared" si="9"/>
        <v>0</v>
      </c>
      <c r="F225">
        <f t="shared" si="10"/>
        <v>0</v>
      </c>
      <c r="G225" t="str">
        <f t="shared" si="11"/>
        <v>2016-04</v>
      </c>
    </row>
    <row r="226" spans="1:7" x14ac:dyDescent="0.35">
      <c r="A226">
        <v>2016</v>
      </c>
      <c r="B226">
        <v>5</v>
      </c>
      <c r="C226" t="s">
        <v>1</v>
      </c>
      <c r="D226">
        <f>SUMIFS(
  fact_sales_monthly!$E:$E,
  fact_sales_monthly!$B:$B, A226,
  fact_sales_monthly!$C:$C, B226,
  fact_sales_monthly!$D:$D, C226
)</f>
        <v>0</v>
      </c>
      <c r="E226">
        <f t="shared" si="9"/>
        <v>0</v>
      </c>
      <c r="F226">
        <f t="shared" si="10"/>
        <v>0</v>
      </c>
      <c r="G226" t="str">
        <f t="shared" si="11"/>
        <v>2016-05</v>
      </c>
    </row>
    <row r="227" spans="1:7" x14ac:dyDescent="0.35">
      <c r="A227">
        <v>2016</v>
      </c>
      <c r="B227">
        <v>5</v>
      </c>
      <c r="C227" t="s">
        <v>2</v>
      </c>
      <c r="D227">
        <f>SUMIFS(
  fact_sales_monthly!$E:$E,
  fact_sales_monthly!$B:$B, A227,
  fact_sales_monthly!$C:$C, B227,
  fact_sales_monthly!$D:$D, C227
)</f>
        <v>0</v>
      </c>
      <c r="E227">
        <f t="shared" si="9"/>
        <v>0</v>
      </c>
      <c r="F227">
        <f t="shared" si="10"/>
        <v>0</v>
      </c>
      <c r="G227" t="str">
        <f t="shared" si="11"/>
        <v>2016-05</v>
      </c>
    </row>
    <row r="228" spans="1:7" x14ac:dyDescent="0.35">
      <c r="A228">
        <v>2016</v>
      </c>
      <c r="B228">
        <v>5</v>
      </c>
      <c r="C228" t="s">
        <v>3</v>
      </c>
      <c r="D228">
        <f>SUMIFS(
  fact_sales_monthly!$E:$E,
  fact_sales_monthly!$B:$B, A228,
  fact_sales_monthly!$C:$C, B228,
  fact_sales_monthly!$D:$D, C228
)</f>
        <v>0</v>
      </c>
      <c r="E228">
        <f t="shared" si="9"/>
        <v>0</v>
      </c>
      <c r="F228">
        <f t="shared" si="10"/>
        <v>0</v>
      </c>
      <c r="G228" t="str">
        <f t="shared" si="11"/>
        <v>2016-05</v>
      </c>
    </row>
    <row r="229" spans="1:7" x14ac:dyDescent="0.35">
      <c r="A229">
        <v>2016</v>
      </c>
      <c r="B229">
        <v>5</v>
      </c>
      <c r="C229" t="s">
        <v>4</v>
      </c>
      <c r="D229">
        <f>SUMIFS(
  fact_sales_monthly!$E:$E,
  fact_sales_monthly!$B:$B, A229,
  fact_sales_monthly!$C:$C, B229,
  fact_sales_monthly!$D:$D, C229
)</f>
        <v>0</v>
      </c>
      <c r="E229">
        <f t="shared" si="9"/>
        <v>0</v>
      </c>
      <c r="F229">
        <f t="shared" si="10"/>
        <v>0</v>
      </c>
      <c r="G229" t="str">
        <f t="shared" si="11"/>
        <v>2016-05</v>
      </c>
    </row>
    <row r="230" spans="1:7" x14ac:dyDescent="0.35">
      <c r="A230">
        <v>2016</v>
      </c>
      <c r="B230">
        <v>5</v>
      </c>
      <c r="C230" t="s">
        <v>5</v>
      </c>
      <c r="D230">
        <f>SUMIFS(
  fact_sales_monthly!$E:$E,
  fact_sales_monthly!$B:$B, A230,
  fact_sales_monthly!$C:$C, B230,
  fact_sales_monthly!$D:$D, C230
)</f>
        <v>275</v>
      </c>
      <c r="E230">
        <f t="shared" si="9"/>
        <v>275</v>
      </c>
      <c r="F230">
        <f t="shared" si="10"/>
        <v>68.75</v>
      </c>
      <c r="G230" t="str">
        <f t="shared" si="11"/>
        <v>2016-05</v>
      </c>
    </row>
    <row r="231" spans="1:7" x14ac:dyDescent="0.35">
      <c r="A231">
        <v>2016</v>
      </c>
      <c r="B231">
        <v>5</v>
      </c>
      <c r="C231" t="s">
        <v>6</v>
      </c>
      <c r="D231">
        <f>SUMIFS(
  fact_sales_monthly!$E:$E,
  fact_sales_monthly!$B:$B, A231,
  fact_sales_monthly!$C:$C, B231,
  fact_sales_monthly!$D:$D, C231
)</f>
        <v>18</v>
      </c>
      <c r="E231">
        <f t="shared" si="9"/>
        <v>18</v>
      </c>
      <c r="F231">
        <f t="shared" si="10"/>
        <v>4.5</v>
      </c>
      <c r="G231" t="str">
        <f t="shared" si="11"/>
        <v>2016-05</v>
      </c>
    </row>
    <row r="232" spans="1:7" x14ac:dyDescent="0.35">
      <c r="A232">
        <v>2016</v>
      </c>
      <c r="B232">
        <v>5</v>
      </c>
      <c r="C232" t="s">
        <v>7</v>
      </c>
      <c r="D232">
        <f>SUMIFS(
  fact_sales_monthly!$E:$E,
  fact_sales_monthly!$B:$B, A232,
  fact_sales_monthly!$C:$C, B232,
  fact_sales_monthly!$D:$D, C232
)</f>
        <v>131</v>
      </c>
      <c r="E232">
        <f t="shared" si="9"/>
        <v>131</v>
      </c>
      <c r="F232">
        <f t="shared" si="10"/>
        <v>32.75</v>
      </c>
      <c r="G232" t="str">
        <f t="shared" si="11"/>
        <v>2016-05</v>
      </c>
    </row>
    <row r="233" spans="1:7" x14ac:dyDescent="0.35">
      <c r="A233">
        <v>2016</v>
      </c>
      <c r="B233">
        <v>5</v>
      </c>
      <c r="C233" t="s">
        <v>8</v>
      </c>
      <c r="D233">
        <f>SUMIFS(
  fact_sales_monthly!$E:$E,
  fact_sales_monthly!$B:$B, A233,
  fact_sales_monthly!$C:$C, B233,
  fact_sales_monthly!$D:$D, C233
)</f>
        <v>0</v>
      </c>
      <c r="E233">
        <f t="shared" si="9"/>
        <v>0</v>
      </c>
      <c r="F233">
        <f t="shared" si="10"/>
        <v>0</v>
      </c>
      <c r="G233" t="str">
        <f t="shared" si="11"/>
        <v>2016-05</v>
      </c>
    </row>
    <row r="234" spans="1:7" x14ac:dyDescent="0.35">
      <c r="A234">
        <v>2016</v>
      </c>
      <c r="B234">
        <v>6</v>
      </c>
      <c r="C234" t="s">
        <v>1</v>
      </c>
      <c r="D234">
        <f>SUMIFS(
  fact_sales_monthly!$E:$E,
  fact_sales_monthly!$B:$B, A234,
  fact_sales_monthly!$C:$C, B234,
  fact_sales_monthly!$D:$D, C234
)</f>
        <v>0</v>
      </c>
      <c r="E234">
        <f t="shared" si="9"/>
        <v>0</v>
      </c>
      <c r="F234">
        <f t="shared" si="10"/>
        <v>0</v>
      </c>
      <c r="G234" t="str">
        <f t="shared" si="11"/>
        <v>2016-06</v>
      </c>
    </row>
    <row r="235" spans="1:7" x14ac:dyDescent="0.35">
      <c r="A235">
        <v>2016</v>
      </c>
      <c r="B235">
        <v>6</v>
      </c>
      <c r="C235" t="s">
        <v>2</v>
      </c>
      <c r="D235">
        <f>SUMIFS(
  fact_sales_monthly!$E:$E,
  fact_sales_monthly!$B:$B, A235,
  fact_sales_monthly!$C:$C, B235,
  fact_sales_monthly!$D:$D, C235
)</f>
        <v>114.961</v>
      </c>
      <c r="E235">
        <f t="shared" si="9"/>
        <v>114.961</v>
      </c>
      <c r="F235">
        <f t="shared" si="10"/>
        <v>28.74025</v>
      </c>
      <c r="G235" t="str">
        <f t="shared" si="11"/>
        <v>2016-06</v>
      </c>
    </row>
    <row r="236" spans="1:7" x14ac:dyDescent="0.35">
      <c r="A236">
        <v>2016</v>
      </c>
      <c r="B236">
        <v>6</v>
      </c>
      <c r="C236" t="s">
        <v>3</v>
      </c>
      <c r="D236">
        <f>SUMIFS(
  fact_sales_monthly!$E:$E,
  fact_sales_monthly!$B:$B, A236,
  fact_sales_monthly!$C:$C, B236,
  fact_sales_monthly!$D:$D, C236
)</f>
        <v>117.75</v>
      </c>
      <c r="E236">
        <f t="shared" si="9"/>
        <v>117.75</v>
      </c>
      <c r="F236">
        <f t="shared" si="10"/>
        <v>29.4375</v>
      </c>
      <c r="G236" t="str">
        <f t="shared" si="11"/>
        <v>2016-06</v>
      </c>
    </row>
    <row r="237" spans="1:7" x14ac:dyDescent="0.35">
      <c r="A237">
        <v>2016</v>
      </c>
      <c r="B237">
        <v>6</v>
      </c>
      <c r="C237" t="s">
        <v>4</v>
      </c>
      <c r="D237">
        <f>SUMIFS(
  fact_sales_monthly!$E:$E,
  fact_sales_monthly!$B:$B, A237,
  fact_sales_monthly!$C:$C, B237,
  fact_sales_monthly!$D:$D, C237
)</f>
        <v>760.05</v>
      </c>
      <c r="E237">
        <f t="shared" si="9"/>
        <v>760.05</v>
      </c>
      <c r="F237">
        <f t="shared" si="10"/>
        <v>190.01249999999999</v>
      </c>
      <c r="G237" t="str">
        <f t="shared" si="11"/>
        <v>2016-06</v>
      </c>
    </row>
    <row r="238" spans="1:7" x14ac:dyDescent="0.35">
      <c r="A238">
        <v>2016</v>
      </c>
      <c r="B238">
        <v>6</v>
      </c>
      <c r="C238" t="s">
        <v>5</v>
      </c>
      <c r="D238">
        <f>SUMIFS(
  fact_sales_monthly!$E:$E,
  fact_sales_monthly!$B:$B, A238,
  fact_sales_monthly!$C:$C, B238,
  fact_sales_monthly!$D:$D, C238
)</f>
        <v>311</v>
      </c>
      <c r="E238">
        <f t="shared" si="9"/>
        <v>311</v>
      </c>
      <c r="F238">
        <f t="shared" si="10"/>
        <v>77.75</v>
      </c>
      <c r="G238" t="str">
        <f t="shared" si="11"/>
        <v>2016-06</v>
      </c>
    </row>
    <row r="239" spans="1:7" x14ac:dyDescent="0.35">
      <c r="A239">
        <v>2016</v>
      </c>
      <c r="B239">
        <v>6</v>
      </c>
      <c r="C239" t="s">
        <v>6</v>
      </c>
      <c r="D239">
        <f>SUMIFS(
  fact_sales_monthly!$E:$E,
  fact_sales_monthly!$B:$B, A239,
  fact_sales_monthly!$C:$C, B239,
  fact_sales_monthly!$D:$D, C239
)</f>
        <v>20</v>
      </c>
      <c r="E239">
        <f t="shared" si="9"/>
        <v>20</v>
      </c>
      <c r="F239">
        <f t="shared" si="10"/>
        <v>5</v>
      </c>
      <c r="G239" t="str">
        <f t="shared" si="11"/>
        <v>2016-06</v>
      </c>
    </row>
    <row r="240" spans="1:7" x14ac:dyDescent="0.35">
      <c r="A240">
        <v>2016</v>
      </c>
      <c r="B240">
        <v>6</v>
      </c>
      <c r="C240" t="s">
        <v>7</v>
      </c>
      <c r="D240">
        <f>SUMIFS(
  fact_sales_monthly!$E:$E,
  fact_sales_monthly!$B:$B, A240,
  fact_sales_monthly!$C:$C, B240,
  fact_sales_monthly!$D:$D, C240
)</f>
        <v>127</v>
      </c>
      <c r="E240">
        <f t="shared" si="9"/>
        <v>127</v>
      </c>
      <c r="F240">
        <f t="shared" si="10"/>
        <v>31.75</v>
      </c>
      <c r="G240" t="str">
        <f t="shared" si="11"/>
        <v>2016-06</v>
      </c>
    </row>
    <row r="241" spans="1:7" x14ac:dyDescent="0.35">
      <c r="A241">
        <v>2016</v>
      </c>
      <c r="B241">
        <v>6</v>
      </c>
      <c r="C241" t="s">
        <v>8</v>
      </c>
      <c r="D241">
        <f>SUMIFS(
  fact_sales_monthly!$E:$E,
  fact_sales_monthly!$B:$B, A241,
  fact_sales_monthly!$C:$C, B241,
  fact_sales_monthly!$D:$D, C241
)</f>
        <v>134.80000000000001</v>
      </c>
      <c r="E241">
        <f t="shared" si="9"/>
        <v>134.80000000000001</v>
      </c>
      <c r="F241">
        <f t="shared" si="10"/>
        <v>33.700000000000003</v>
      </c>
      <c r="G241" t="str">
        <f t="shared" si="11"/>
        <v>2016-06</v>
      </c>
    </row>
    <row r="242" spans="1:7" x14ac:dyDescent="0.35">
      <c r="A242">
        <v>2016</v>
      </c>
      <c r="B242">
        <v>7</v>
      </c>
      <c r="C242" t="s">
        <v>1</v>
      </c>
      <c r="D242">
        <f>SUMIFS(
  fact_sales_monthly!$E:$E,
  fact_sales_monthly!$B:$B, A242,
  fact_sales_monthly!$C:$C, B242,
  fact_sales_monthly!$D:$D, C242
)</f>
        <v>0</v>
      </c>
      <c r="E242">
        <f t="shared" si="9"/>
        <v>0</v>
      </c>
      <c r="F242">
        <f t="shared" si="10"/>
        <v>0</v>
      </c>
      <c r="G242" t="str">
        <f t="shared" si="11"/>
        <v>2016-07</v>
      </c>
    </row>
    <row r="243" spans="1:7" x14ac:dyDescent="0.35">
      <c r="A243">
        <v>2016</v>
      </c>
      <c r="B243">
        <v>7</v>
      </c>
      <c r="C243" t="s">
        <v>2</v>
      </c>
      <c r="D243">
        <f>SUMIFS(
  fact_sales_monthly!$E:$E,
  fact_sales_monthly!$B:$B, A243,
  fact_sales_monthly!$C:$C, B243,
  fact_sales_monthly!$D:$D, C243
)</f>
        <v>0</v>
      </c>
      <c r="E243">
        <f t="shared" si="9"/>
        <v>0</v>
      </c>
      <c r="F243">
        <f t="shared" si="10"/>
        <v>0</v>
      </c>
      <c r="G243" t="str">
        <f t="shared" si="11"/>
        <v>2016-07</v>
      </c>
    </row>
    <row r="244" spans="1:7" x14ac:dyDescent="0.35">
      <c r="A244">
        <v>2016</v>
      </c>
      <c r="B244">
        <v>7</v>
      </c>
      <c r="C244" t="s">
        <v>3</v>
      </c>
      <c r="D244">
        <f>SUMIFS(
  fact_sales_monthly!$E:$E,
  fact_sales_monthly!$B:$B, A244,
  fact_sales_monthly!$C:$C, B244,
  fact_sales_monthly!$D:$D, C244
)</f>
        <v>0</v>
      </c>
      <c r="E244">
        <f t="shared" si="9"/>
        <v>0</v>
      </c>
      <c r="F244">
        <f t="shared" si="10"/>
        <v>0</v>
      </c>
      <c r="G244" t="str">
        <f t="shared" si="11"/>
        <v>2016-07</v>
      </c>
    </row>
    <row r="245" spans="1:7" x14ac:dyDescent="0.35">
      <c r="A245">
        <v>2016</v>
      </c>
      <c r="B245">
        <v>7</v>
      </c>
      <c r="C245" t="s">
        <v>4</v>
      </c>
      <c r="D245">
        <f>SUMIFS(
  fact_sales_monthly!$E:$E,
  fact_sales_monthly!$B:$B, A245,
  fact_sales_monthly!$C:$C, B245,
  fact_sales_monthly!$D:$D, C245
)</f>
        <v>0</v>
      </c>
      <c r="E245">
        <f t="shared" si="9"/>
        <v>0</v>
      </c>
      <c r="F245">
        <f t="shared" si="10"/>
        <v>0</v>
      </c>
      <c r="G245" t="str">
        <f t="shared" si="11"/>
        <v>2016-07</v>
      </c>
    </row>
    <row r="246" spans="1:7" x14ac:dyDescent="0.35">
      <c r="A246">
        <v>2016</v>
      </c>
      <c r="B246">
        <v>7</v>
      </c>
      <c r="C246" t="s">
        <v>5</v>
      </c>
      <c r="D246">
        <f>SUMIFS(
  fact_sales_monthly!$E:$E,
  fact_sales_monthly!$B:$B, A246,
  fact_sales_monthly!$C:$C, B246,
  fact_sales_monthly!$D:$D, C246
)</f>
        <v>240</v>
      </c>
      <c r="E246">
        <f t="shared" si="9"/>
        <v>240</v>
      </c>
      <c r="F246">
        <f t="shared" si="10"/>
        <v>60</v>
      </c>
      <c r="G246" t="str">
        <f t="shared" si="11"/>
        <v>2016-07</v>
      </c>
    </row>
    <row r="247" spans="1:7" x14ac:dyDescent="0.35">
      <c r="A247">
        <v>2016</v>
      </c>
      <c r="B247">
        <v>7</v>
      </c>
      <c r="C247" t="s">
        <v>6</v>
      </c>
      <c r="D247">
        <f>SUMIFS(
  fact_sales_monthly!$E:$E,
  fact_sales_monthly!$B:$B, A247,
  fact_sales_monthly!$C:$C, B247,
  fact_sales_monthly!$D:$D, C247
)</f>
        <v>8</v>
      </c>
      <c r="E247">
        <f t="shared" si="9"/>
        <v>8</v>
      </c>
      <c r="F247">
        <f t="shared" si="10"/>
        <v>2</v>
      </c>
      <c r="G247" t="str">
        <f t="shared" si="11"/>
        <v>2016-07</v>
      </c>
    </row>
    <row r="248" spans="1:7" x14ac:dyDescent="0.35">
      <c r="A248">
        <v>2016</v>
      </c>
      <c r="B248">
        <v>7</v>
      </c>
      <c r="C248" t="s">
        <v>7</v>
      </c>
      <c r="D248">
        <f>SUMIFS(
  fact_sales_monthly!$E:$E,
  fact_sales_monthly!$B:$B, A248,
  fact_sales_monthly!$C:$C, B248,
  fact_sales_monthly!$D:$D, C248
)</f>
        <v>109</v>
      </c>
      <c r="E248">
        <f t="shared" si="9"/>
        <v>109</v>
      </c>
      <c r="F248">
        <f t="shared" si="10"/>
        <v>27.25</v>
      </c>
      <c r="G248" t="str">
        <f t="shared" si="11"/>
        <v>2016-07</v>
      </c>
    </row>
    <row r="249" spans="1:7" x14ac:dyDescent="0.35">
      <c r="A249">
        <v>2016</v>
      </c>
      <c r="B249">
        <v>7</v>
      </c>
      <c r="C249" t="s">
        <v>8</v>
      </c>
      <c r="D249">
        <f>SUMIFS(
  fact_sales_monthly!$E:$E,
  fact_sales_monthly!$B:$B, A249,
  fact_sales_monthly!$C:$C, B249,
  fact_sales_monthly!$D:$D, C249
)</f>
        <v>116.83</v>
      </c>
      <c r="E249">
        <f t="shared" si="9"/>
        <v>116.83</v>
      </c>
      <c r="F249">
        <f t="shared" si="10"/>
        <v>29.2075</v>
      </c>
      <c r="G249" t="str">
        <f t="shared" si="11"/>
        <v>2016-07</v>
      </c>
    </row>
    <row r="250" spans="1:7" x14ac:dyDescent="0.35">
      <c r="A250">
        <v>2016</v>
      </c>
      <c r="B250">
        <v>8</v>
      </c>
      <c r="C250" t="s">
        <v>1</v>
      </c>
      <c r="D250">
        <f>SUMIFS(
  fact_sales_monthly!$E:$E,
  fact_sales_monthly!$B:$B, A250,
  fact_sales_monthly!$C:$C, B250,
  fact_sales_monthly!$D:$D, C250
)</f>
        <v>0</v>
      </c>
      <c r="E250">
        <f t="shared" si="9"/>
        <v>0</v>
      </c>
      <c r="F250">
        <f t="shared" si="10"/>
        <v>0</v>
      </c>
      <c r="G250" t="str">
        <f t="shared" si="11"/>
        <v>2016-08</v>
      </c>
    </row>
    <row r="251" spans="1:7" x14ac:dyDescent="0.35">
      <c r="A251">
        <v>2016</v>
      </c>
      <c r="B251">
        <v>8</v>
      </c>
      <c r="C251" t="s">
        <v>2</v>
      </c>
      <c r="D251">
        <f>SUMIFS(
  fact_sales_monthly!$E:$E,
  fact_sales_monthly!$B:$B, A251,
  fact_sales_monthly!$C:$C, B251,
  fact_sales_monthly!$D:$D, C251
)</f>
        <v>0</v>
      </c>
      <c r="E251">
        <f t="shared" si="9"/>
        <v>0</v>
      </c>
      <c r="F251">
        <f t="shared" si="10"/>
        <v>0</v>
      </c>
      <c r="G251" t="str">
        <f t="shared" si="11"/>
        <v>2016-08</v>
      </c>
    </row>
    <row r="252" spans="1:7" x14ac:dyDescent="0.35">
      <c r="A252">
        <v>2016</v>
      </c>
      <c r="B252">
        <v>8</v>
      </c>
      <c r="C252" t="s">
        <v>3</v>
      </c>
      <c r="D252">
        <f>SUMIFS(
  fact_sales_monthly!$E:$E,
  fact_sales_monthly!$B:$B, A252,
  fact_sales_monthly!$C:$C, B252,
  fact_sales_monthly!$D:$D, C252
)</f>
        <v>132.69999999999999</v>
      </c>
      <c r="E252">
        <f t="shared" si="9"/>
        <v>132.69999999999999</v>
      </c>
      <c r="F252">
        <f t="shared" si="10"/>
        <v>33.174999999999997</v>
      </c>
      <c r="G252" t="str">
        <f t="shared" si="11"/>
        <v>2016-08</v>
      </c>
    </row>
    <row r="253" spans="1:7" x14ac:dyDescent="0.35">
      <c r="A253">
        <v>2016</v>
      </c>
      <c r="B253">
        <v>8</v>
      </c>
      <c r="C253" t="s">
        <v>4</v>
      </c>
      <c r="D253">
        <f>SUMIFS(
  fact_sales_monthly!$E:$E,
  fact_sales_monthly!$B:$B, A253,
  fact_sales_monthly!$C:$C, B253,
  fact_sales_monthly!$D:$D, C253
)</f>
        <v>0</v>
      </c>
      <c r="E253">
        <f t="shared" si="9"/>
        <v>0</v>
      </c>
      <c r="F253">
        <f t="shared" si="10"/>
        <v>0</v>
      </c>
      <c r="G253" t="str">
        <f t="shared" si="11"/>
        <v>2016-08</v>
      </c>
    </row>
    <row r="254" spans="1:7" x14ac:dyDescent="0.35">
      <c r="A254">
        <v>2016</v>
      </c>
      <c r="B254">
        <v>8</v>
      </c>
      <c r="C254" t="s">
        <v>5</v>
      </c>
      <c r="D254">
        <f>SUMIFS(
  fact_sales_monthly!$E:$E,
  fact_sales_monthly!$B:$B, A254,
  fact_sales_monthly!$C:$C, B254,
  fact_sales_monthly!$D:$D, C254
)</f>
        <v>275.5</v>
      </c>
      <c r="E254">
        <f t="shared" si="9"/>
        <v>275.5</v>
      </c>
      <c r="F254">
        <f t="shared" si="10"/>
        <v>68.875</v>
      </c>
      <c r="G254" t="str">
        <f t="shared" si="11"/>
        <v>2016-08</v>
      </c>
    </row>
    <row r="255" spans="1:7" x14ac:dyDescent="0.35">
      <c r="A255">
        <v>2016</v>
      </c>
      <c r="B255">
        <v>8</v>
      </c>
      <c r="C255" t="s">
        <v>6</v>
      </c>
      <c r="D255">
        <f>SUMIFS(
  fact_sales_monthly!$E:$E,
  fact_sales_monthly!$B:$B, A255,
  fact_sales_monthly!$C:$C, B255,
  fact_sales_monthly!$D:$D, C255
)</f>
        <v>12</v>
      </c>
      <c r="E255">
        <f t="shared" si="9"/>
        <v>12</v>
      </c>
      <c r="F255">
        <f t="shared" si="10"/>
        <v>3</v>
      </c>
      <c r="G255" t="str">
        <f t="shared" si="11"/>
        <v>2016-08</v>
      </c>
    </row>
    <row r="256" spans="1:7" x14ac:dyDescent="0.35">
      <c r="A256">
        <v>2016</v>
      </c>
      <c r="B256">
        <v>8</v>
      </c>
      <c r="C256" t="s">
        <v>7</v>
      </c>
      <c r="D256">
        <f>SUMIFS(
  fact_sales_monthly!$E:$E,
  fact_sales_monthly!$B:$B, A256,
  fact_sales_monthly!$C:$C, B256,
  fact_sales_monthly!$D:$D, C256
)</f>
        <v>116</v>
      </c>
      <c r="E256">
        <f t="shared" si="9"/>
        <v>116</v>
      </c>
      <c r="F256">
        <f t="shared" si="10"/>
        <v>29</v>
      </c>
      <c r="G256" t="str">
        <f t="shared" si="11"/>
        <v>2016-08</v>
      </c>
    </row>
    <row r="257" spans="1:7" x14ac:dyDescent="0.35">
      <c r="A257">
        <v>2016</v>
      </c>
      <c r="B257">
        <v>8</v>
      </c>
      <c r="C257" t="s">
        <v>8</v>
      </c>
      <c r="D257">
        <f>SUMIFS(
  fact_sales_monthly!$E:$E,
  fact_sales_monthly!$B:$B, A257,
  fact_sales_monthly!$C:$C, B257,
  fact_sales_monthly!$D:$D, C257
)</f>
        <v>85.3</v>
      </c>
      <c r="E257">
        <f t="shared" si="9"/>
        <v>85.3</v>
      </c>
      <c r="F257">
        <f t="shared" si="10"/>
        <v>21.324999999999999</v>
      </c>
      <c r="G257" t="str">
        <f t="shared" si="11"/>
        <v>2016-08</v>
      </c>
    </row>
    <row r="258" spans="1:7" x14ac:dyDescent="0.35">
      <c r="A258">
        <v>2016</v>
      </c>
      <c r="B258">
        <v>9</v>
      </c>
      <c r="C258" t="s">
        <v>1</v>
      </c>
      <c r="D258">
        <f>SUMIFS(
  fact_sales_monthly!$E:$E,
  fact_sales_monthly!$B:$B, A258,
  fact_sales_monthly!$C:$C, B258,
  fact_sales_monthly!$D:$D, C258
)</f>
        <v>0</v>
      </c>
      <c r="E258">
        <f t="shared" si="9"/>
        <v>0</v>
      </c>
      <c r="F258">
        <f t="shared" si="10"/>
        <v>0</v>
      </c>
      <c r="G258" t="str">
        <f t="shared" si="11"/>
        <v>2016-09</v>
      </c>
    </row>
    <row r="259" spans="1:7" x14ac:dyDescent="0.35">
      <c r="A259">
        <v>2016</v>
      </c>
      <c r="B259">
        <v>9</v>
      </c>
      <c r="C259" t="s">
        <v>2</v>
      </c>
      <c r="D259">
        <f>SUMIFS(
  fact_sales_monthly!$E:$E,
  fact_sales_monthly!$B:$B, A259,
  fact_sales_monthly!$C:$C, B259,
  fact_sales_monthly!$D:$D, C259
)</f>
        <v>0</v>
      </c>
      <c r="E259">
        <f t="shared" ref="E259:E322" si="12">D259 * 1</f>
        <v>0</v>
      </c>
      <c r="F259">
        <f t="shared" ref="F259:F322" si="13">D259 * 0.25</f>
        <v>0</v>
      </c>
      <c r="G259" t="str">
        <f t="shared" ref="G259:G322" si="14">TEXT(DATE(A259, B259, 1), "yyyy-mm")</f>
        <v>2016-09</v>
      </c>
    </row>
    <row r="260" spans="1:7" x14ac:dyDescent="0.35">
      <c r="A260">
        <v>2016</v>
      </c>
      <c r="B260">
        <v>9</v>
      </c>
      <c r="C260" t="s">
        <v>3</v>
      </c>
      <c r="D260">
        <f>SUMIFS(
  fact_sales_monthly!$E:$E,
  fact_sales_monthly!$B:$B, A260,
  fact_sales_monthly!$C:$C, B260,
  fact_sales_monthly!$D:$D, C260
)</f>
        <v>116.7</v>
      </c>
      <c r="E260">
        <f t="shared" si="12"/>
        <v>116.7</v>
      </c>
      <c r="F260">
        <f t="shared" si="13"/>
        <v>29.175000000000001</v>
      </c>
      <c r="G260" t="str">
        <f t="shared" si="14"/>
        <v>2016-09</v>
      </c>
    </row>
    <row r="261" spans="1:7" x14ac:dyDescent="0.35">
      <c r="A261">
        <v>2016</v>
      </c>
      <c r="B261">
        <v>9</v>
      </c>
      <c r="C261" t="s">
        <v>4</v>
      </c>
      <c r="D261">
        <f>SUMIFS(
  fact_sales_monthly!$E:$E,
  fact_sales_monthly!$B:$B, A261,
  fact_sales_monthly!$C:$C, B261,
  fact_sales_monthly!$D:$D, C261
)</f>
        <v>1118.6990000000001</v>
      </c>
      <c r="E261">
        <f t="shared" si="12"/>
        <v>1118.6990000000001</v>
      </c>
      <c r="F261">
        <f t="shared" si="13"/>
        <v>279.67475000000002</v>
      </c>
      <c r="G261" t="str">
        <f t="shared" si="14"/>
        <v>2016-09</v>
      </c>
    </row>
    <row r="262" spans="1:7" x14ac:dyDescent="0.35">
      <c r="A262">
        <v>2016</v>
      </c>
      <c r="B262">
        <v>9</v>
      </c>
      <c r="C262" t="s">
        <v>5</v>
      </c>
      <c r="D262">
        <f>SUMIFS(
  fact_sales_monthly!$E:$E,
  fact_sales_monthly!$B:$B, A262,
  fact_sales_monthly!$C:$C, B262,
  fact_sales_monthly!$D:$D, C262
)</f>
        <v>307</v>
      </c>
      <c r="E262">
        <f t="shared" si="12"/>
        <v>307</v>
      </c>
      <c r="F262">
        <f t="shared" si="13"/>
        <v>76.75</v>
      </c>
      <c r="G262" t="str">
        <f t="shared" si="14"/>
        <v>2016-09</v>
      </c>
    </row>
    <row r="263" spans="1:7" x14ac:dyDescent="0.35">
      <c r="A263">
        <v>2016</v>
      </c>
      <c r="B263">
        <v>9</v>
      </c>
      <c r="C263" t="s">
        <v>6</v>
      </c>
      <c r="D263">
        <f>SUMIFS(
  fact_sales_monthly!$E:$E,
  fact_sales_monthly!$B:$B, A263,
  fact_sales_monthly!$C:$C, B263,
  fact_sales_monthly!$D:$D, C263
)</f>
        <v>18</v>
      </c>
      <c r="E263">
        <f t="shared" si="12"/>
        <v>18</v>
      </c>
      <c r="F263">
        <f t="shared" si="13"/>
        <v>4.5</v>
      </c>
      <c r="G263" t="str">
        <f t="shared" si="14"/>
        <v>2016-09</v>
      </c>
    </row>
    <row r="264" spans="1:7" x14ac:dyDescent="0.35">
      <c r="A264">
        <v>2016</v>
      </c>
      <c r="B264">
        <v>9</v>
      </c>
      <c r="C264" t="s">
        <v>7</v>
      </c>
      <c r="D264">
        <f>SUMIFS(
  fact_sales_monthly!$E:$E,
  fact_sales_monthly!$B:$B, A264,
  fact_sales_monthly!$C:$C, B264,
  fact_sales_monthly!$D:$D, C264
)</f>
        <v>121</v>
      </c>
      <c r="E264">
        <f t="shared" si="12"/>
        <v>121</v>
      </c>
      <c r="F264">
        <f t="shared" si="13"/>
        <v>30.25</v>
      </c>
      <c r="G264" t="str">
        <f t="shared" si="14"/>
        <v>2016-09</v>
      </c>
    </row>
    <row r="265" spans="1:7" x14ac:dyDescent="0.35">
      <c r="A265">
        <v>2016</v>
      </c>
      <c r="B265">
        <v>9</v>
      </c>
      <c r="C265" t="s">
        <v>8</v>
      </c>
      <c r="D265">
        <f>SUMIFS(
  fact_sales_monthly!$E:$E,
  fact_sales_monthly!$B:$B, A265,
  fact_sales_monthly!$C:$C, B265,
  fact_sales_monthly!$D:$D, C265
)</f>
        <v>69.3</v>
      </c>
      <c r="E265">
        <f t="shared" si="12"/>
        <v>69.3</v>
      </c>
      <c r="F265">
        <f t="shared" si="13"/>
        <v>17.324999999999999</v>
      </c>
      <c r="G265" t="str">
        <f t="shared" si="14"/>
        <v>2016-09</v>
      </c>
    </row>
    <row r="266" spans="1:7" x14ac:dyDescent="0.35">
      <c r="A266">
        <v>2016</v>
      </c>
      <c r="B266">
        <v>10</v>
      </c>
      <c r="C266" t="s">
        <v>1</v>
      </c>
      <c r="D266">
        <f>SUMIFS(
  fact_sales_monthly!$E:$E,
  fact_sales_monthly!$B:$B, A266,
  fact_sales_monthly!$C:$C, B266,
  fact_sales_monthly!$D:$D, C266
)</f>
        <v>0</v>
      </c>
      <c r="E266">
        <f t="shared" si="12"/>
        <v>0</v>
      </c>
      <c r="F266">
        <f t="shared" si="13"/>
        <v>0</v>
      </c>
      <c r="G266" t="str">
        <f t="shared" si="14"/>
        <v>2016-10</v>
      </c>
    </row>
    <row r="267" spans="1:7" x14ac:dyDescent="0.35">
      <c r="A267">
        <v>2016</v>
      </c>
      <c r="B267">
        <v>10</v>
      </c>
      <c r="C267" t="s">
        <v>2</v>
      </c>
      <c r="D267">
        <f>SUMIFS(
  fact_sales_monthly!$E:$E,
  fact_sales_monthly!$B:$B, A267,
  fact_sales_monthly!$C:$C, B267,
  fact_sales_monthly!$D:$D, C267
)</f>
        <v>0</v>
      </c>
      <c r="E267">
        <f t="shared" si="12"/>
        <v>0</v>
      </c>
      <c r="F267">
        <f t="shared" si="13"/>
        <v>0</v>
      </c>
      <c r="G267" t="str">
        <f t="shared" si="14"/>
        <v>2016-10</v>
      </c>
    </row>
    <row r="268" spans="1:7" x14ac:dyDescent="0.35">
      <c r="A268">
        <v>2016</v>
      </c>
      <c r="B268">
        <v>10</v>
      </c>
      <c r="C268" t="s">
        <v>3</v>
      </c>
      <c r="D268">
        <f>SUMIFS(
  fact_sales_monthly!$E:$E,
  fact_sales_monthly!$B:$B, A268,
  fact_sales_monthly!$C:$C, B268,
  fact_sales_monthly!$D:$D, C268
)</f>
        <v>160.15</v>
      </c>
      <c r="E268">
        <f t="shared" si="12"/>
        <v>160.15</v>
      </c>
      <c r="F268">
        <f t="shared" si="13"/>
        <v>40.037500000000001</v>
      </c>
      <c r="G268" t="str">
        <f t="shared" si="14"/>
        <v>2016-10</v>
      </c>
    </row>
    <row r="269" spans="1:7" x14ac:dyDescent="0.35">
      <c r="A269">
        <v>2016</v>
      </c>
      <c r="B269">
        <v>10</v>
      </c>
      <c r="C269" t="s">
        <v>4</v>
      </c>
      <c r="D269">
        <f>SUMIFS(
  fact_sales_monthly!$E:$E,
  fact_sales_monthly!$B:$B, A269,
  fact_sales_monthly!$C:$C, B269,
  fact_sales_monthly!$D:$D, C269
)</f>
        <v>0</v>
      </c>
      <c r="E269">
        <f t="shared" si="12"/>
        <v>0</v>
      </c>
      <c r="F269">
        <f t="shared" si="13"/>
        <v>0</v>
      </c>
      <c r="G269" t="str">
        <f t="shared" si="14"/>
        <v>2016-10</v>
      </c>
    </row>
    <row r="270" spans="1:7" x14ac:dyDescent="0.35">
      <c r="A270">
        <v>2016</v>
      </c>
      <c r="B270">
        <v>10</v>
      </c>
      <c r="C270" t="s">
        <v>5</v>
      </c>
      <c r="D270">
        <f>SUMIFS(
  fact_sales_monthly!$E:$E,
  fact_sales_monthly!$B:$B, A270,
  fact_sales_monthly!$C:$C, B270,
  fact_sales_monthly!$D:$D, C270
)</f>
        <v>312</v>
      </c>
      <c r="E270">
        <f t="shared" si="12"/>
        <v>312</v>
      </c>
      <c r="F270">
        <f t="shared" si="13"/>
        <v>78</v>
      </c>
      <c r="G270" t="str">
        <f t="shared" si="14"/>
        <v>2016-10</v>
      </c>
    </row>
    <row r="271" spans="1:7" x14ac:dyDescent="0.35">
      <c r="A271">
        <v>2016</v>
      </c>
      <c r="B271">
        <v>10</v>
      </c>
      <c r="C271" t="s">
        <v>6</v>
      </c>
      <c r="D271">
        <f>SUMIFS(
  fact_sales_monthly!$E:$E,
  fact_sales_monthly!$B:$B, A271,
  fact_sales_monthly!$C:$C, B271,
  fact_sales_monthly!$D:$D, C271
)</f>
        <v>11</v>
      </c>
      <c r="E271">
        <f t="shared" si="12"/>
        <v>11</v>
      </c>
      <c r="F271">
        <f t="shared" si="13"/>
        <v>2.75</v>
      </c>
      <c r="G271" t="str">
        <f t="shared" si="14"/>
        <v>2016-10</v>
      </c>
    </row>
    <row r="272" spans="1:7" x14ac:dyDescent="0.35">
      <c r="A272">
        <v>2016</v>
      </c>
      <c r="B272">
        <v>10</v>
      </c>
      <c r="C272" t="s">
        <v>7</v>
      </c>
      <c r="D272">
        <f>SUMIFS(
  fact_sales_monthly!$E:$E,
  fact_sales_monthly!$B:$B, A272,
  fact_sales_monthly!$C:$C, B272,
  fact_sales_monthly!$D:$D, C272
)</f>
        <v>220</v>
      </c>
      <c r="E272">
        <f t="shared" si="12"/>
        <v>220</v>
      </c>
      <c r="F272">
        <f t="shared" si="13"/>
        <v>55</v>
      </c>
      <c r="G272" t="str">
        <f t="shared" si="14"/>
        <v>2016-10</v>
      </c>
    </row>
    <row r="273" spans="1:7" x14ac:dyDescent="0.35">
      <c r="A273">
        <v>2016</v>
      </c>
      <c r="B273">
        <v>10</v>
      </c>
      <c r="C273" t="s">
        <v>8</v>
      </c>
      <c r="D273">
        <f>SUMIFS(
  fact_sales_monthly!$E:$E,
  fact_sales_monthly!$B:$B, A273,
  fact_sales_monthly!$C:$C, B273,
  fact_sales_monthly!$D:$D, C273
)</f>
        <v>60.9</v>
      </c>
      <c r="E273">
        <f t="shared" si="12"/>
        <v>60.9</v>
      </c>
      <c r="F273">
        <f t="shared" si="13"/>
        <v>15.225</v>
      </c>
      <c r="G273" t="str">
        <f t="shared" si="14"/>
        <v>2016-10</v>
      </c>
    </row>
    <row r="274" spans="1:7" x14ac:dyDescent="0.35">
      <c r="A274">
        <v>2016</v>
      </c>
      <c r="B274">
        <v>11</v>
      </c>
      <c r="C274" t="s">
        <v>1</v>
      </c>
      <c r="D274">
        <f>SUMIFS(
  fact_sales_monthly!$E:$E,
  fact_sales_monthly!$B:$B, A274,
  fact_sales_monthly!$C:$C, B274,
  fact_sales_monthly!$D:$D, C274
)</f>
        <v>0</v>
      </c>
      <c r="E274">
        <f t="shared" si="12"/>
        <v>0</v>
      </c>
      <c r="F274">
        <f t="shared" si="13"/>
        <v>0</v>
      </c>
      <c r="G274" t="str">
        <f t="shared" si="14"/>
        <v>2016-11</v>
      </c>
    </row>
    <row r="275" spans="1:7" x14ac:dyDescent="0.35">
      <c r="A275">
        <v>2016</v>
      </c>
      <c r="B275">
        <v>11</v>
      </c>
      <c r="C275" t="s">
        <v>2</v>
      </c>
      <c r="D275">
        <f>SUMIFS(
  fact_sales_monthly!$E:$E,
  fact_sales_monthly!$B:$B, A275,
  fact_sales_monthly!$C:$C, B275,
  fact_sales_monthly!$D:$D, C275
)</f>
        <v>0</v>
      </c>
      <c r="E275">
        <f t="shared" si="12"/>
        <v>0</v>
      </c>
      <c r="F275">
        <f t="shared" si="13"/>
        <v>0</v>
      </c>
      <c r="G275" t="str">
        <f t="shared" si="14"/>
        <v>2016-11</v>
      </c>
    </row>
    <row r="276" spans="1:7" x14ac:dyDescent="0.35">
      <c r="A276">
        <v>2016</v>
      </c>
      <c r="B276">
        <v>11</v>
      </c>
      <c r="C276" t="s">
        <v>3</v>
      </c>
      <c r="D276">
        <f>SUMIFS(
  fact_sales_monthly!$E:$E,
  fact_sales_monthly!$B:$B, A276,
  fact_sales_monthly!$C:$C, B276,
  fact_sales_monthly!$D:$D, C276
)</f>
        <v>0</v>
      </c>
      <c r="E276">
        <f t="shared" si="12"/>
        <v>0</v>
      </c>
      <c r="F276">
        <f t="shared" si="13"/>
        <v>0</v>
      </c>
      <c r="G276" t="str">
        <f t="shared" si="14"/>
        <v>2016-11</v>
      </c>
    </row>
    <row r="277" spans="1:7" x14ac:dyDescent="0.35">
      <c r="A277">
        <v>2016</v>
      </c>
      <c r="B277">
        <v>11</v>
      </c>
      <c r="C277" t="s">
        <v>4</v>
      </c>
      <c r="D277">
        <f>SUMIFS(
  fact_sales_monthly!$E:$E,
  fact_sales_monthly!$B:$B, A277,
  fact_sales_monthly!$C:$C, B277,
  fact_sales_monthly!$D:$D, C277
)</f>
        <v>0</v>
      </c>
      <c r="E277">
        <f t="shared" si="12"/>
        <v>0</v>
      </c>
      <c r="F277">
        <f t="shared" si="13"/>
        <v>0</v>
      </c>
      <c r="G277" t="str">
        <f t="shared" si="14"/>
        <v>2016-11</v>
      </c>
    </row>
    <row r="278" spans="1:7" x14ac:dyDescent="0.35">
      <c r="A278">
        <v>2016</v>
      </c>
      <c r="B278">
        <v>11</v>
      </c>
      <c r="C278" t="s">
        <v>5</v>
      </c>
      <c r="D278">
        <f>SUMIFS(
  fact_sales_monthly!$E:$E,
  fact_sales_monthly!$B:$B, A278,
  fact_sales_monthly!$C:$C, B278,
  fact_sales_monthly!$D:$D, C278
)</f>
        <v>246</v>
      </c>
      <c r="E278">
        <f t="shared" si="12"/>
        <v>246</v>
      </c>
      <c r="F278">
        <f t="shared" si="13"/>
        <v>61.5</v>
      </c>
      <c r="G278" t="str">
        <f t="shared" si="14"/>
        <v>2016-11</v>
      </c>
    </row>
    <row r="279" spans="1:7" x14ac:dyDescent="0.35">
      <c r="A279">
        <v>2016</v>
      </c>
      <c r="B279">
        <v>11</v>
      </c>
      <c r="C279" t="s">
        <v>6</v>
      </c>
      <c r="D279">
        <f>SUMIFS(
  fact_sales_monthly!$E:$E,
  fact_sales_monthly!$B:$B, A279,
  fact_sales_monthly!$C:$C, B279,
  fact_sales_monthly!$D:$D, C279
)</f>
        <v>27</v>
      </c>
      <c r="E279">
        <f t="shared" si="12"/>
        <v>27</v>
      </c>
      <c r="F279">
        <f t="shared" si="13"/>
        <v>6.75</v>
      </c>
      <c r="G279" t="str">
        <f t="shared" si="14"/>
        <v>2016-11</v>
      </c>
    </row>
    <row r="280" spans="1:7" x14ac:dyDescent="0.35">
      <c r="A280">
        <v>2016</v>
      </c>
      <c r="B280">
        <v>11</v>
      </c>
      <c r="C280" t="s">
        <v>7</v>
      </c>
      <c r="D280">
        <f>SUMIFS(
  fact_sales_monthly!$E:$E,
  fact_sales_monthly!$B:$B, A280,
  fact_sales_monthly!$C:$C, B280,
  fact_sales_monthly!$D:$D, C280
)</f>
        <v>150</v>
      </c>
      <c r="E280">
        <f t="shared" si="12"/>
        <v>150</v>
      </c>
      <c r="F280">
        <f t="shared" si="13"/>
        <v>37.5</v>
      </c>
      <c r="G280" t="str">
        <f t="shared" si="14"/>
        <v>2016-11</v>
      </c>
    </row>
    <row r="281" spans="1:7" x14ac:dyDescent="0.35">
      <c r="A281">
        <v>2016</v>
      </c>
      <c r="B281">
        <v>11</v>
      </c>
      <c r="C281" t="s">
        <v>8</v>
      </c>
      <c r="D281">
        <f>SUMIFS(
  fact_sales_monthly!$E:$E,
  fact_sales_monthly!$B:$B, A281,
  fact_sales_monthly!$C:$C, B281,
  fact_sales_monthly!$D:$D, C281
)</f>
        <v>0</v>
      </c>
      <c r="E281">
        <f t="shared" si="12"/>
        <v>0</v>
      </c>
      <c r="F281">
        <f t="shared" si="13"/>
        <v>0</v>
      </c>
      <c r="G281" t="str">
        <f t="shared" si="14"/>
        <v>2016-11</v>
      </c>
    </row>
    <row r="282" spans="1:7" x14ac:dyDescent="0.35">
      <c r="A282">
        <v>2016</v>
      </c>
      <c r="B282">
        <v>12</v>
      </c>
      <c r="C282" t="s">
        <v>1</v>
      </c>
      <c r="D282">
        <f>SUMIFS(
  fact_sales_monthly!$E:$E,
  fact_sales_monthly!$B:$B, A282,
  fact_sales_monthly!$C:$C, B282,
  fact_sales_monthly!$D:$D, C282
)</f>
        <v>0</v>
      </c>
      <c r="E282">
        <f t="shared" si="12"/>
        <v>0</v>
      </c>
      <c r="F282">
        <f t="shared" si="13"/>
        <v>0</v>
      </c>
      <c r="G282" t="str">
        <f t="shared" si="14"/>
        <v>2016-12</v>
      </c>
    </row>
    <row r="283" spans="1:7" x14ac:dyDescent="0.35">
      <c r="A283">
        <v>2016</v>
      </c>
      <c r="B283">
        <v>12</v>
      </c>
      <c r="C283" t="s">
        <v>2</v>
      </c>
      <c r="D283">
        <f>SUMIFS(
  fact_sales_monthly!$E:$E,
  fact_sales_monthly!$B:$B, A283,
  fact_sales_monthly!$C:$C, B283,
  fact_sales_monthly!$D:$D, C283
)</f>
        <v>0</v>
      </c>
      <c r="E283">
        <f t="shared" si="12"/>
        <v>0</v>
      </c>
      <c r="F283">
        <f t="shared" si="13"/>
        <v>0</v>
      </c>
      <c r="G283" t="str">
        <f t="shared" si="14"/>
        <v>2016-12</v>
      </c>
    </row>
    <row r="284" spans="1:7" x14ac:dyDescent="0.35">
      <c r="A284">
        <v>2016</v>
      </c>
      <c r="B284">
        <v>12</v>
      </c>
      <c r="C284" t="s">
        <v>3</v>
      </c>
      <c r="D284">
        <f>SUMIFS(
  fact_sales_monthly!$E:$E,
  fact_sales_monthly!$B:$B, A284,
  fact_sales_monthly!$C:$C, B284,
  fact_sales_monthly!$D:$D, C284
)</f>
        <v>0</v>
      </c>
      <c r="E284">
        <f t="shared" si="12"/>
        <v>0</v>
      </c>
      <c r="F284">
        <f t="shared" si="13"/>
        <v>0</v>
      </c>
      <c r="G284" t="str">
        <f t="shared" si="14"/>
        <v>2016-12</v>
      </c>
    </row>
    <row r="285" spans="1:7" x14ac:dyDescent="0.35">
      <c r="A285">
        <v>2016</v>
      </c>
      <c r="B285">
        <v>12</v>
      </c>
      <c r="C285" t="s">
        <v>4</v>
      </c>
      <c r="D285">
        <f>SUMIFS(
  fact_sales_monthly!$E:$E,
  fact_sales_monthly!$B:$B, A285,
  fact_sales_monthly!$C:$C, B285,
  fact_sales_monthly!$D:$D, C285
)</f>
        <v>0</v>
      </c>
      <c r="E285">
        <f t="shared" si="12"/>
        <v>0</v>
      </c>
      <c r="F285">
        <f t="shared" si="13"/>
        <v>0</v>
      </c>
      <c r="G285" t="str">
        <f t="shared" si="14"/>
        <v>2016-12</v>
      </c>
    </row>
    <row r="286" spans="1:7" x14ac:dyDescent="0.35">
      <c r="A286">
        <v>2016</v>
      </c>
      <c r="B286">
        <v>12</v>
      </c>
      <c r="C286" t="s">
        <v>5</v>
      </c>
      <c r="D286">
        <f>SUMIFS(
  fact_sales_monthly!$E:$E,
  fact_sales_monthly!$B:$B, A286,
  fact_sales_monthly!$C:$C, B286,
  fact_sales_monthly!$D:$D, C286
)</f>
        <v>257</v>
      </c>
      <c r="E286">
        <f t="shared" si="12"/>
        <v>257</v>
      </c>
      <c r="F286">
        <f t="shared" si="13"/>
        <v>64.25</v>
      </c>
      <c r="G286" t="str">
        <f t="shared" si="14"/>
        <v>2016-12</v>
      </c>
    </row>
    <row r="287" spans="1:7" x14ac:dyDescent="0.35">
      <c r="A287">
        <v>2016</v>
      </c>
      <c r="B287">
        <v>12</v>
      </c>
      <c r="C287" t="s">
        <v>6</v>
      </c>
      <c r="D287">
        <f>SUMIFS(
  fact_sales_monthly!$E:$E,
  fact_sales_monthly!$B:$B, A287,
  fact_sales_monthly!$C:$C, B287,
  fact_sales_monthly!$D:$D, C287
)</f>
        <v>18</v>
      </c>
      <c r="E287">
        <f t="shared" si="12"/>
        <v>18</v>
      </c>
      <c r="F287">
        <f t="shared" si="13"/>
        <v>4.5</v>
      </c>
      <c r="G287" t="str">
        <f t="shared" si="14"/>
        <v>2016-12</v>
      </c>
    </row>
    <row r="288" spans="1:7" x14ac:dyDescent="0.35">
      <c r="A288">
        <v>2016</v>
      </c>
      <c r="B288">
        <v>12</v>
      </c>
      <c r="C288" t="s">
        <v>7</v>
      </c>
      <c r="D288">
        <f>SUMIFS(
  fact_sales_monthly!$E:$E,
  fact_sales_monthly!$B:$B, A288,
  fact_sales_monthly!$C:$C, B288,
  fact_sales_monthly!$D:$D, C288
)</f>
        <v>275</v>
      </c>
      <c r="E288">
        <f t="shared" si="12"/>
        <v>275</v>
      </c>
      <c r="F288">
        <f t="shared" si="13"/>
        <v>68.75</v>
      </c>
      <c r="G288" t="str">
        <f t="shared" si="14"/>
        <v>2016-12</v>
      </c>
    </row>
    <row r="289" spans="1:7" x14ac:dyDescent="0.35">
      <c r="A289">
        <v>2016</v>
      </c>
      <c r="B289">
        <v>12</v>
      </c>
      <c r="C289" t="s">
        <v>8</v>
      </c>
      <c r="D289">
        <f>SUMIFS(
  fact_sales_monthly!$E:$E,
  fact_sales_monthly!$B:$B, A289,
  fact_sales_monthly!$C:$C, B289,
  fact_sales_monthly!$D:$D, C289
)</f>
        <v>34.9</v>
      </c>
      <c r="E289">
        <f t="shared" si="12"/>
        <v>34.9</v>
      </c>
      <c r="F289">
        <f t="shared" si="13"/>
        <v>8.7249999999999996</v>
      </c>
      <c r="G289" t="str">
        <f t="shared" si="14"/>
        <v>2016-12</v>
      </c>
    </row>
    <row r="290" spans="1:7" x14ac:dyDescent="0.35">
      <c r="A290">
        <v>2017</v>
      </c>
      <c r="B290">
        <v>1</v>
      </c>
      <c r="C290" t="s">
        <v>1</v>
      </c>
      <c r="D290">
        <f>SUMIFS(
  fact_sales_monthly!$E:$E,
  fact_sales_monthly!$B:$B, A290,
  fact_sales_monthly!$C:$C, B290,
  fact_sales_monthly!$D:$D, C290
)</f>
        <v>0</v>
      </c>
      <c r="E290">
        <f t="shared" si="12"/>
        <v>0</v>
      </c>
      <c r="F290">
        <f t="shared" si="13"/>
        <v>0</v>
      </c>
      <c r="G290" t="str">
        <f t="shared" si="14"/>
        <v>2017-01</v>
      </c>
    </row>
    <row r="291" spans="1:7" x14ac:dyDescent="0.35">
      <c r="A291">
        <v>2017</v>
      </c>
      <c r="B291">
        <v>1</v>
      </c>
      <c r="C291" t="s">
        <v>2</v>
      </c>
      <c r="D291">
        <f>SUMIFS(
  fact_sales_monthly!$E:$E,
  fact_sales_monthly!$B:$B, A291,
  fact_sales_monthly!$C:$C, B291,
  fact_sales_monthly!$D:$D, C291
)</f>
        <v>0</v>
      </c>
      <c r="E291">
        <f t="shared" si="12"/>
        <v>0</v>
      </c>
      <c r="F291">
        <f t="shared" si="13"/>
        <v>0</v>
      </c>
      <c r="G291" t="str">
        <f t="shared" si="14"/>
        <v>2017-01</v>
      </c>
    </row>
    <row r="292" spans="1:7" x14ac:dyDescent="0.35">
      <c r="A292">
        <v>2017</v>
      </c>
      <c r="B292">
        <v>1</v>
      </c>
      <c r="C292" t="s">
        <v>3</v>
      </c>
      <c r="D292">
        <f>SUMIFS(
  fact_sales_monthly!$E:$E,
  fact_sales_monthly!$B:$B, A292,
  fact_sales_monthly!$C:$C, B292,
  fact_sales_monthly!$D:$D, C292
)</f>
        <v>0</v>
      </c>
      <c r="E292">
        <f t="shared" si="12"/>
        <v>0</v>
      </c>
      <c r="F292">
        <f t="shared" si="13"/>
        <v>0</v>
      </c>
      <c r="G292" t="str">
        <f t="shared" si="14"/>
        <v>2017-01</v>
      </c>
    </row>
    <row r="293" spans="1:7" x14ac:dyDescent="0.35">
      <c r="A293">
        <v>2017</v>
      </c>
      <c r="B293">
        <v>1</v>
      </c>
      <c r="C293" t="s">
        <v>4</v>
      </c>
      <c r="D293">
        <f>SUMIFS(
  fact_sales_monthly!$E:$E,
  fact_sales_monthly!$B:$B, A293,
  fact_sales_monthly!$C:$C, B293,
  fact_sales_monthly!$D:$D, C293
)</f>
        <v>0</v>
      </c>
      <c r="E293">
        <f t="shared" si="12"/>
        <v>0</v>
      </c>
      <c r="F293">
        <f t="shared" si="13"/>
        <v>0</v>
      </c>
      <c r="G293" t="str">
        <f t="shared" si="14"/>
        <v>2017-01</v>
      </c>
    </row>
    <row r="294" spans="1:7" x14ac:dyDescent="0.35">
      <c r="A294">
        <v>2017</v>
      </c>
      <c r="B294">
        <v>1</v>
      </c>
      <c r="C294" t="s">
        <v>5</v>
      </c>
      <c r="D294">
        <f>SUMIFS(
  fact_sales_monthly!$E:$E,
  fact_sales_monthly!$B:$B, A294,
  fact_sales_monthly!$C:$C, B294,
  fact_sales_monthly!$D:$D, C294
)</f>
        <v>1</v>
      </c>
      <c r="E294">
        <f t="shared" si="12"/>
        <v>1</v>
      </c>
      <c r="F294">
        <f t="shared" si="13"/>
        <v>0.25</v>
      </c>
      <c r="G294" t="str">
        <f t="shared" si="14"/>
        <v>2017-01</v>
      </c>
    </row>
    <row r="295" spans="1:7" x14ac:dyDescent="0.35">
      <c r="A295">
        <v>2017</v>
      </c>
      <c r="B295">
        <v>1</v>
      </c>
      <c r="C295" t="s">
        <v>6</v>
      </c>
      <c r="D295">
        <f>SUMIFS(
  fact_sales_monthly!$E:$E,
  fact_sales_monthly!$B:$B, A295,
  fact_sales_monthly!$C:$C, B295,
  fact_sales_monthly!$D:$D, C295
)</f>
        <v>0</v>
      </c>
      <c r="E295">
        <f t="shared" si="12"/>
        <v>0</v>
      </c>
      <c r="F295">
        <f t="shared" si="13"/>
        <v>0</v>
      </c>
      <c r="G295" t="str">
        <f t="shared" si="14"/>
        <v>2017-01</v>
      </c>
    </row>
    <row r="296" spans="1:7" x14ac:dyDescent="0.35">
      <c r="A296">
        <v>2017</v>
      </c>
      <c r="B296">
        <v>1</v>
      </c>
      <c r="C296" t="s">
        <v>7</v>
      </c>
      <c r="D296">
        <f>SUMIFS(
  fact_sales_monthly!$E:$E,
  fact_sales_monthly!$B:$B, A296,
  fact_sales_monthly!$C:$C, B296,
  fact_sales_monthly!$D:$D, C296
)</f>
        <v>0</v>
      </c>
      <c r="E296">
        <f t="shared" si="12"/>
        <v>0</v>
      </c>
      <c r="F296">
        <f t="shared" si="13"/>
        <v>0</v>
      </c>
      <c r="G296" t="str">
        <f t="shared" si="14"/>
        <v>2017-01</v>
      </c>
    </row>
    <row r="297" spans="1:7" x14ac:dyDescent="0.35">
      <c r="A297">
        <v>2017</v>
      </c>
      <c r="B297">
        <v>1</v>
      </c>
      <c r="C297" t="s">
        <v>8</v>
      </c>
      <c r="D297">
        <f>SUMIFS(
  fact_sales_monthly!$E:$E,
  fact_sales_monthly!$B:$B, A297,
  fact_sales_monthly!$C:$C, B297,
  fact_sales_monthly!$D:$D, C297
)</f>
        <v>0</v>
      </c>
      <c r="E297">
        <f t="shared" si="12"/>
        <v>0</v>
      </c>
      <c r="F297">
        <f t="shared" si="13"/>
        <v>0</v>
      </c>
      <c r="G297" t="str">
        <f t="shared" si="14"/>
        <v>2017-01</v>
      </c>
    </row>
    <row r="298" spans="1:7" x14ac:dyDescent="0.35">
      <c r="A298">
        <v>2017</v>
      </c>
      <c r="B298">
        <v>2</v>
      </c>
      <c r="C298" t="s">
        <v>1</v>
      </c>
      <c r="D298">
        <f>SUMIFS(
  fact_sales_monthly!$E:$E,
  fact_sales_monthly!$B:$B, A298,
  fact_sales_monthly!$C:$C, B298,
  fact_sales_monthly!$D:$D, C298
)</f>
        <v>0</v>
      </c>
      <c r="E298">
        <f t="shared" si="12"/>
        <v>0</v>
      </c>
      <c r="F298">
        <f t="shared" si="13"/>
        <v>0</v>
      </c>
      <c r="G298" t="str">
        <f t="shared" si="14"/>
        <v>2017-02</v>
      </c>
    </row>
    <row r="299" spans="1:7" x14ac:dyDescent="0.35">
      <c r="A299">
        <v>2017</v>
      </c>
      <c r="B299">
        <v>2</v>
      </c>
      <c r="C299" t="s">
        <v>2</v>
      </c>
      <c r="D299">
        <f>SUMIFS(
  fact_sales_monthly!$E:$E,
  fact_sales_monthly!$B:$B, A299,
  fact_sales_monthly!$C:$C, B299,
  fact_sales_monthly!$D:$D, C299
)</f>
        <v>0</v>
      </c>
      <c r="E299">
        <f t="shared" si="12"/>
        <v>0</v>
      </c>
      <c r="F299">
        <f t="shared" si="13"/>
        <v>0</v>
      </c>
      <c r="G299" t="str">
        <f t="shared" si="14"/>
        <v>2017-02</v>
      </c>
    </row>
    <row r="300" spans="1:7" x14ac:dyDescent="0.35">
      <c r="A300">
        <v>2017</v>
      </c>
      <c r="B300">
        <v>2</v>
      </c>
      <c r="C300" t="s">
        <v>3</v>
      </c>
      <c r="D300">
        <f>SUMIFS(
  fact_sales_monthly!$E:$E,
  fact_sales_monthly!$B:$B, A300,
  fact_sales_monthly!$C:$C, B300,
  fact_sales_monthly!$D:$D, C300
)</f>
        <v>97</v>
      </c>
      <c r="E300">
        <f t="shared" si="12"/>
        <v>97</v>
      </c>
      <c r="F300">
        <f t="shared" si="13"/>
        <v>24.25</v>
      </c>
      <c r="G300" t="str">
        <f t="shared" si="14"/>
        <v>2017-02</v>
      </c>
    </row>
    <row r="301" spans="1:7" x14ac:dyDescent="0.35">
      <c r="A301">
        <v>2017</v>
      </c>
      <c r="B301">
        <v>2</v>
      </c>
      <c r="C301" t="s">
        <v>4</v>
      </c>
      <c r="D301">
        <f>SUMIFS(
  fact_sales_monthly!$E:$E,
  fact_sales_monthly!$B:$B, A301,
  fact_sales_monthly!$C:$C, B301,
  fact_sales_monthly!$D:$D, C301
)</f>
        <v>0</v>
      </c>
      <c r="E301">
        <f t="shared" si="12"/>
        <v>0</v>
      </c>
      <c r="F301">
        <f t="shared" si="13"/>
        <v>0</v>
      </c>
      <c r="G301" t="str">
        <f t="shared" si="14"/>
        <v>2017-02</v>
      </c>
    </row>
    <row r="302" spans="1:7" x14ac:dyDescent="0.35">
      <c r="A302">
        <v>2017</v>
      </c>
      <c r="B302">
        <v>2</v>
      </c>
      <c r="C302" t="s">
        <v>5</v>
      </c>
      <c r="D302">
        <f>SUMIFS(
  fact_sales_monthly!$E:$E,
  fact_sales_monthly!$B:$B, A302,
  fact_sales_monthly!$C:$C, B302,
  fact_sales_monthly!$D:$D, C302
)</f>
        <v>144</v>
      </c>
      <c r="E302">
        <f t="shared" si="12"/>
        <v>144</v>
      </c>
      <c r="F302">
        <f t="shared" si="13"/>
        <v>36</v>
      </c>
      <c r="G302" t="str">
        <f t="shared" si="14"/>
        <v>2017-02</v>
      </c>
    </row>
    <row r="303" spans="1:7" x14ac:dyDescent="0.35">
      <c r="A303">
        <v>2017</v>
      </c>
      <c r="B303">
        <v>2</v>
      </c>
      <c r="C303" t="s">
        <v>6</v>
      </c>
      <c r="D303">
        <f>SUMIFS(
  fact_sales_monthly!$E:$E,
  fact_sales_monthly!$B:$B, A303,
  fact_sales_monthly!$C:$C, B303,
  fact_sales_monthly!$D:$D, C303
)</f>
        <v>7</v>
      </c>
      <c r="E303">
        <f t="shared" si="12"/>
        <v>7</v>
      </c>
      <c r="F303">
        <f t="shared" si="13"/>
        <v>1.75</v>
      </c>
      <c r="G303" t="str">
        <f t="shared" si="14"/>
        <v>2017-02</v>
      </c>
    </row>
    <row r="304" spans="1:7" x14ac:dyDescent="0.35">
      <c r="A304">
        <v>2017</v>
      </c>
      <c r="B304">
        <v>2</v>
      </c>
      <c r="C304" t="s">
        <v>7</v>
      </c>
      <c r="D304">
        <f>SUMIFS(
  fact_sales_monthly!$E:$E,
  fact_sales_monthly!$B:$B, A304,
  fact_sales_monthly!$C:$C, B304,
  fact_sales_monthly!$D:$D, C304
)</f>
        <v>117</v>
      </c>
      <c r="E304">
        <f t="shared" si="12"/>
        <v>117</v>
      </c>
      <c r="F304">
        <f t="shared" si="13"/>
        <v>29.25</v>
      </c>
      <c r="G304" t="str">
        <f t="shared" si="14"/>
        <v>2017-02</v>
      </c>
    </row>
    <row r="305" spans="1:7" x14ac:dyDescent="0.35">
      <c r="A305">
        <v>2017</v>
      </c>
      <c r="B305">
        <v>2</v>
      </c>
      <c r="C305" t="s">
        <v>8</v>
      </c>
      <c r="D305">
        <f>SUMIFS(
  fact_sales_monthly!$E:$E,
  fact_sales_monthly!$B:$B, A305,
  fact_sales_monthly!$C:$C, B305,
  fact_sales_monthly!$D:$D, C305
)</f>
        <v>30.6</v>
      </c>
      <c r="E305">
        <f t="shared" si="12"/>
        <v>30.6</v>
      </c>
      <c r="F305">
        <f t="shared" si="13"/>
        <v>7.65</v>
      </c>
      <c r="G305" t="str">
        <f t="shared" si="14"/>
        <v>2017-02</v>
      </c>
    </row>
    <row r="306" spans="1:7" x14ac:dyDescent="0.35">
      <c r="A306">
        <v>2017</v>
      </c>
      <c r="B306">
        <v>3</v>
      </c>
      <c r="C306" t="s">
        <v>1</v>
      </c>
      <c r="D306">
        <f>SUMIFS(
  fact_sales_monthly!$E:$E,
  fact_sales_monthly!$B:$B, A306,
  fact_sales_monthly!$C:$C, B306,
  fact_sales_monthly!$D:$D, C306
)</f>
        <v>0</v>
      </c>
      <c r="E306">
        <f t="shared" si="12"/>
        <v>0</v>
      </c>
      <c r="F306">
        <f t="shared" si="13"/>
        <v>0</v>
      </c>
      <c r="G306" t="str">
        <f t="shared" si="14"/>
        <v>2017-03</v>
      </c>
    </row>
    <row r="307" spans="1:7" x14ac:dyDescent="0.35">
      <c r="A307">
        <v>2017</v>
      </c>
      <c r="B307">
        <v>3</v>
      </c>
      <c r="C307" t="s">
        <v>2</v>
      </c>
      <c r="D307">
        <f>SUMIFS(
  fact_sales_monthly!$E:$E,
  fact_sales_monthly!$B:$B, A307,
  fact_sales_monthly!$C:$C, B307,
  fact_sales_monthly!$D:$D, C307
)</f>
        <v>111.05500000000001</v>
      </c>
      <c r="E307">
        <f t="shared" si="12"/>
        <v>111.05500000000001</v>
      </c>
      <c r="F307">
        <f t="shared" si="13"/>
        <v>27.763750000000002</v>
      </c>
      <c r="G307" t="str">
        <f t="shared" si="14"/>
        <v>2017-03</v>
      </c>
    </row>
    <row r="308" spans="1:7" x14ac:dyDescent="0.35">
      <c r="A308">
        <v>2017</v>
      </c>
      <c r="B308">
        <v>3</v>
      </c>
      <c r="C308" t="s">
        <v>3</v>
      </c>
      <c r="D308">
        <f>SUMIFS(
  fact_sales_monthly!$E:$E,
  fact_sales_monthly!$B:$B, A308,
  fact_sales_monthly!$C:$C, B308,
  fact_sales_monthly!$D:$D, C308
)</f>
        <v>0</v>
      </c>
      <c r="E308">
        <f t="shared" si="12"/>
        <v>0</v>
      </c>
      <c r="F308">
        <f t="shared" si="13"/>
        <v>0</v>
      </c>
      <c r="G308" t="str">
        <f t="shared" si="14"/>
        <v>2017-03</v>
      </c>
    </row>
    <row r="309" spans="1:7" x14ac:dyDescent="0.35">
      <c r="A309">
        <v>2017</v>
      </c>
      <c r="B309">
        <v>3</v>
      </c>
      <c r="C309" t="s">
        <v>4</v>
      </c>
      <c r="D309">
        <f>SUMIFS(
  fact_sales_monthly!$E:$E,
  fact_sales_monthly!$B:$B, A309,
  fact_sales_monthly!$C:$C, B309,
  fact_sales_monthly!$D:$D, C309
)</f>
        <v>0</v>
      </c>
      <c r="E309">
        <f t="shared" si="12"/>
        <v>0</v>
      </c>
      <c r="F309">
        <f t="shared" si="13"/>
        <v>0</v>
      </c>
      <c r="G309" t="str">
        <f t="shared" si="14"/>
        <v>2017-03</v>
      </c>
    </row>
    <row r="310" spans="1:7" x14ac:dyDescent="0.35">
      <c r="A310">
        <v>2017</v>
      </c>
      <c r="B310">
        <v>3</v>
      </c>
      <c r="C310" t="s">
        <v>5</v>
      </c>
      <c r="D310">
        <f>SUMIFS(
  fact_sales_monthly!$E:$E,
  fact_sales_monthly!$B:$B, A310,
  fact_sales_monthly!$C:$C, B310,
  fact_sales_monthly!$D:$D, C310
)</f>
        <v>165</v>
      </c>
      <c r="E310">
        <f t="shared" si="12"/>
        <v>165</v>
      </c>
      <c r="F310">
        <f t="shared" si="13"/>
        <v>41.25</v>
      </c>
      <c r="G310" t="str">
        <f t="shared" si="14"/>
        <v>2017-03</v>
      </c>
    </row>
    <row r="311" spans="1:7" x14ac:dyDescent="0.35">
      <c r="A311">
        <v>2017</v>
      </c>
      <c r="B311">
        <v>3</v>
      </c>
      <c r="C311" t="s">
        <v>6</v>
      </c>
      <c r="D311">
        <f>SUMIFS(
  fact_sales_monthly!$E:$E,
  fact_sales_monthly!$B:$B, A311,
  fact_sales_monthly!$C:$C, B311,
  fact_sales_monthly!$D:$D, C311
)</f>
        <v>9</v>
      </c>
      <c r="E311">
        <f t="shared" si="12"/>
        <v>9</v>
      </c>
      <c r="F311">
        <f t="shared" si="13"/>
        <v>2.25</v>
      </c>
      <c r="G311" t="str">
        <f t="shared" si="14"/>
        <v>2017-03</v>
      </c>
    </row>
    <row r="312" spans="1:7" x14ac:dyDescent="0.35">
      <c r="A312">
        <v>2017</v>
      </c>
      <c r="B312">
        <v>3</v>
      </c>
      <c r="C312" t="s">
        <v>7</v>
      </c>
      <c r="D312">
        <f>SUMIFS(
  fact_sales_monthly!$E:$E,
  fact_sales_monthly!$B:$B, A312,
  fact_sales_monthly!$C:$C, B312,
  fact_sales_monthly!$D:$D, C312
)</f>
        <v>139</v>
      </c>
      <c r="E312">
        <f t="shared" si="12"/>
        <v>139</v>
      </c>
      <c r="F312">
        <f t="shared" si="13"/>
        <v>34.75</v>
      </c>
      <c r="G312" t="str">
        <f t="shared" si="14"/>
        <v>2017-03</v>
      </c>
    </row>
    <row r="313" spans="1:7" x14ac:dyDescent="0.35">
      <c r="A313">
        <v>2017</v>
      </c>
      <c r="B313">
        <v>3</v>
      </c>
      <c r="C313" t="s">
        <v>8</v>
      </c>
      <c r="D313">
        <f>SUMIFS(
  fact_sales_monthly!$E:$E,
  fact_sales_monthly!$B:$B, A313,
  fact_sales_monthly!$C:$C, B313,
  fact_sales_monthly!$D:$D, C313
)</f>
        <v>100.1</v>
      </c>
      <c r="E313">
        <f t="shared" si="12"/>
        <v>100.1</v>
      </c>
      <c r="F313">
        <f t="shared" si="13"/>
        <v>25.024999999999999</v>
      </c>
      <c r="G313" t="str">
        <f t="shared" si="14"/>
        <v>2017-03</v>
      </c>
    </row>
    <row r="314" spans="1:7" x14ac:dyDescent="0.35">
      <c r="A314">
        <v>2017</v>
      </c>
      <c r="B314">
        <v>4</v>
      </c>
      <c r="C314" t="s">
        <v>1</v>
      </c>
      <c r="D314">
        <f>SUMIFS(
  fact_sales_monthly!$E:$E,
  fact_sales_monthly!$B:$B, A314,
  fact_sales_monthly!$C:$C, B314,
  fact_sales_monthly!$D:$D, C314
)</f>
        <v>0</v>
      </c>
      <c r="E314">
        <f t="shared" si="12"/>
        <v>0</v>
      </c>
      <c r="F314">
        <f t="shared" si="13"/>
        <v>0</v>
      </c>
      <c r="G314" t="str">
        <f t="shared" si="14"/>
        <v>2017-04</v>
      </c>
    </row>
    <row r="315" spans="1:7" x14ac:dyDescent="0.35">
      <c r="A315">
        <v>2017</v>
      </c>
      <c r="B315">
        <v>4</v>
      </c>
      <c r="C315" t="s">
        <v>2</v>
      </c>
      <c r="D315">
        <f>SUMIFS(
  fact_sales_monthly!$E:$E,
  fact_sales_monthly!$B:$B, A315,
  fact_sales_monthly!$C:$C, B315,
  fact_sales_monthly!$D:$D, C315
)</f>
        <v>0</v>
      </c>
      <c r="E315">
        <f t="shared" si="12"/>
        <v>0</v>
      </c>
      <c r="F315">
        <f t="shared" si="13"/>
        <v>0</v>
      </c>
      <c r="G315" t="str">
        <f t="shared" si="14"/>
        <v>2017-04</v>
      </c>
    </row>
    <row r="316" spans="1:7" x14ac:dyDescent="0.35">
      <c r="A316">
        <v>2017</v>
      </c>
      <c r="B316">
        <v>4</v>
      </c>
      <c r="C316" t="s">
        <v>3</v>
      </c>
      <c r="D316">
        <f>SUMIFS(
  fact_sales_monthly!$E:$E,
  fact_sales_monthly!$B:$B, A316,
  fact_sales_monthly!$C:$C, B316,
  fact_sales_monthly!$D:$D, C316
)</f>
        <v>100.5</v>
      </c>
      <c r="E316">
        <f t="shared" si="12"/>
        <v>100.5</v>
      </c>
      <c r="F316">
        <f t="shared" si="13"/>
        <v>25.125</v>
      </c>
      <c r="G316" t="str">
        <f t="shared" si="14"/>
        <v>2017-04</v>
      </c>
    </row>
    <row r="317" spans="1:7" x14ac:dyDescent="0.35">
      <c r="A317">
        <v>2017</v>
      </c>
      <c r="B317">
        <v>4</v>
      </c>
      <c r="C317" t="s">
        <v>4</v>
      </c>
      <c r="D317">
        <f>SUMIFS(
  fact_sales_monthly!$E:$E,
  fact_sales_monthly!$B:$B, A317,
  fact_sales_monthly!$C:$C, B317,
  fact_sales_monthly!$D:$D, C317
)</f>
        <v>0</v>
      </c>
      <c r="E317">
        <f t="shared" si="12"/>
        <v>0</v>
      </c>
      <c r="F317">
        <f t="shared" si="13"/>
        <v>0</v>
      </c>
      <c r="G317" t="str">
        <f t="shared" si="14"/>
        <v>2017-04</v>
      </c>
    </row>
    <row r="318" spans="1:7" x14ac:dyDescent="0.35">
      <c r="A318">
        <v>2017</v>
      </c>
      <c r="B318">
        <v>4</v>
      </c>
      <c r="C318" t="s">
        <v>5</v>
      </c>
      <c r="D318">
        <f>SUMIFS(
  fact_sales_monthly!$E:$E,
  fact_sales_monthly!$B:$B, A318,
  fact_sales_monthly!$C:$C, B318,
  fact_sales_monthly!$D:$D, C318
)</f>
        <v>132</v>
      </c>
      <c r="E318">
        <f t="shared" si="12"/>
        <v>132</v>
      </c>
      <c r="F318">
        <f t="shared" si="13"/>
        <v>33</v>
      </c>
      <c r="G318" t="str">
        <f t="shared" si="14"/>
        <v>2017-04</v>
      </c>
    </row>
    <row r="319" spans="1:7" x14ac:dyDescent="0.35">
      <c r="A319">
        <v>2017</v>
      </c>
      <c r="B319">
        <v>4</v>
      </c>
      <c r="C319" t="s">
        <v>6</v>
      </c>
      <c r="D319">
        <f>SUMIFS(
  fact_sales_monthly!$E:$E,
  fact_sales_monthly!$B:$B, A319,
  fact_sales_monthly!$C:$C, B319,
  fact_sales_monthly!$D:$D, C319
)</f>
        <v>9</v>
      </c>
      <c r="E319">
        <f t="shared" si="12"/>
        <v>9</v>
      </c>
      <c r="F319">
        <f t="shared" si="13"/>
        <v>2.25</v>
      </c>
      <c r="G319" t="str">
        <f t="shared" si="14"/>
        <v>2017-04</v>
      </c>
    </row>
    <row r="320" spans="1:7" x14ac:dyDescent="0.35">
      <c r="A320">
        <v>2017</v>
      </c>
      <c r="B320">
        <v>4</v>
      </c>
      <c r="C320" t="s">
        <v>7</v>
      </c>
      <c r="D320">
        <f>SUMIFS(
  fact_sales_monthly!$E:$E,
  fact_sales_monthly!$B:$B, A320,
  fact_sales_monthly!$C:$C, B320,
  fact_sales_monthly!$D:$D, C320
)</f>
        <v>209</v>
      </c>
      <c r="E320">
        <f t="shared" si="12"/>
        <v>209</v>
      </c>
      <c r="F320">
        <f t="shared" si="13"/>
        <v>52.25</v>
      </c>
      <c r="G320" t="str">
        <f t="shared" si="14"/>
        <v>2017-04</v>
      </c>
    </row>
    <row r="321" spans="1:7" x14ac:dyDescent="0.35">
      <c r="A321">
        <v>2017</v>
      </c>
      <c r="B321">
        <v>4</v>
      </c>
      <c r="C321" t="s">
        <v>8</v>
      </c>
      <c r="D321">
        <f>SUMIFS(
  fact_sales_monthly!$E:$E,
  fact_sales_monthly!$B:$B, A321,
  fact_sales_monthly!$C:$C, B321,
  fact_sales_monthly!$D:$D, C321
)</f>
        <v>0</v>
      </c>
      <c r="E321">
        <f t="shared" si="12"/>
        <v>0</v>
      </c>
      <c r="F321">
        <f t="shared" si="13"/>
        <v>0</v>
      </c>
      <c r="G321" t="str">
        <f t="shared" si="14"/>
        <v>2017-04</v>
      </c>
    </row>
    <row r="322" spans="1:7" x14ac:dyDescent="0.35">
      <c r="A322">
        <v>2017</v>
      </c>
      <c r="B322">
        <v>5</v>
      </c>
      <c r="C322" t="s">
        <v>1</v>
      </c>
      <c r="D322">
        <f>SUMIFS(
  fact_sales_monthly!$E:$E,
  fact_sales_monthly!$B:$B, A322,
  fact_sales_monthly!$C:$C, B322,
  fact_sales_monthly!$D:$D, C322
)</f>
        <v>143.66</v>
      </c>
      <c r="E322">
        <f t="shared" si="12"/>
        <v>143.66</v>
      </c>
      <c r="F322">
        <f t="shared" si="13"/>
        <v>35.914999999999999</v>
      </c>
      <c r="G322" t="str">
        <f t="shared" si="14"/>
        <v>2017-05</v>
      </c>
    </row>
    <row r="323" spans="1:7" x14ac:dyDescent="0.35">
      <c r="A323">
        <v>2017</v>
      </c>
      <c r="B323">
        <v>5</v>
      </c>
      <c r="C323" t="s">
        <v>2</v>
      </c>
      <c r="D323">
        <f>SUMIFS(
  fact_sales_monthly!$E:$E,
  fact_sales_monthly!$B:$B, A323,
  fact_sales_monthly!$C:$C, B323,
  fact_sales_monthly!$D:$D, C323
)</f>
        <v>0</v>
      </c>
      <c r="E323">
        <f t="shared" ref="E323:E386" si="15">D323 * 1</f>
        <v>0</v>
      </c>
      <c r="F323">
        <f t="shared" ref="F323:F386" si="16">D323 * 0.25</f>
        <v>0</v>
      </c>
      <c r="G323" t="str">
        <f t="shared" ref="G323:G386" si="17">TEXT(DATE(A323, B323, 1), "yyyy-mm")</f>
        <v>2017-05</v>
      </c>
    </row>
    <row r="324" spans="1:7" x14ac:dyDescent="0.35">
      <c r="A324">
        <v>2017</v>
      </c>
      <c r="B324">
        <v>5</v>
      </c>
      <c r="C324" t="s">
        <v>3</v>
      </c>
      <c r="D324">
        <f>SUMIFS(
  fact_sales_monthly!$E:$E,
  fact_sales_monthly!$B:$B, A324,
  fact_sales_monthly!$C:$C, B324,
  fact_sales_monthly!$D:$D, C324
)</f>
        <v>98.95</v>
      </c>
      <c r="E324">
        <f t="shared" si="15"/>
        <v>98.95</v>
      </c>
      <c r="F324">
        <f t="shared" si="16"/>
        <v>24.737500000000001</v>
      </c>
      <c r="G324" t="str">
        <f t="shared" si="17"/>
        <v>2017-05</v>
      </c>
    </row>
    <row r="325" spans="1:7" x14ac:dyDescent="0.35">
      <c r="A325">
        <v>2017</v>
      </c>
      <c r="B325">
        <v>5</v>
      </c>
      <c r="C325" t="s">
        <v>4</v>
      </c>
      <c r="D325">
        <f>SUMIFS(
  fact_sales_monthly!$E:$E,
  fact_sales_monthly!$B:$B, A325,
  fact_sales_monthly!$C:$C, B325,
  fact_sales_monthly!$D:$D, C325
)</f>
        <v>0</v>
      </c>
      <c r="E325">
        <f t="shared" si="15"/>
        <v>0</v>
      </c>
      <c r="F325">
        <f t="shared" si="16"/>
        <v>0</v>
      </c>
      <c r="G325" t="str">
        <f t="shared" si="17"/>
        <v>2017-05</v>
      </c>
    </row>
    <row r="326" spans="1:7" x14ac:dyDescent="0.35">
      <c r="A326">
        <v>2017</v>
      </c>
      <c r="B326">
        <v>5</v>
      </c>
      <c r="C326" t="s">
        <v>5</v>
      </c>
      <c r="D326">
        <f>SUMIFS(
  fact_sales_monthly!$E:$E,
  fact_sales_monthly!$B:$B, A326,
  fact_sales_monthly!$C:$C, B326,
  fact_sales_monthly!$D:$D, C326
)</f>
        <v>148</v>
      </c>
      <c r="E326">
        <f t="shared" si="15"/>
        <v>148</v>
      </c>
      <c r="F326">
        <f t="shared" si="16"/>
        <v>37</v>
      </c>
      <c r="G326" t="str">
        <f t="shared" si="17"/>
        <v>2017-05</v>
      </c>
    </row>
    <row r="327" spans="1:7" x14ac:dyDescent="0.35">
      <c r="A327">
        <v>2017</v>
      </c>
      <c r="B327">
        <v>5</v>
      </c>
      <c r="C327" t="s">
        <v>6</v>
      </c>
      <c r="D327">
        <f>SUMIFS(
  fact_sales_monthly!$E:$E,
  fact_sales_monthly!$B:$B, A327,
  fact_sales_monthly!$C:$C, B327,
  fact_sales_monthly!$D:$D, C327
)</f>
        <v>23</v>
      </c>
      <c r="E327">
        <f t="shared" si="15"/>
        <v>23</v>
      </c>
      <c r="F327">
        <f t="shared" si="16"/>
        <v>5.75</v>
      </c>
      <c r="G327" t="str">
        <f t="shared" si="17"/>
        <v>2017-05</v>
      </c>
    </row>
    <row r="328" spans="1:7" x14ac:dyDescent="0.35">
      <c r="A328">
        <v>2017</v>
      </c>
      <c r="B328">
        <v>5</v>
      </c>
      <c r="C328" t="s">
        <v>7</v>
      </c>
      <c r="D328">
        <f>SUMIFS(
  fact_sales_monthly!$E:$E,
  fact_sales_monthly!$B:$B, A328,
  fact_sales_monthly!$C:$C, B328,
  fact_sales_monthly!$D:$D, C328
)</f>
        <v>128</v>
      </c>
      <c r="E328">
        <f t="shared" si="15"/>
        <v>128</v>
      </c>
      <c r="F328">
        <f t="shared" si="16"/>
        <v>32</v>
      </c>
      <c r="G328" t="str">
        <f t="shared" si="17"/>
        <v>2017-05</v>
      </c>
    </row>
    <row r="329" spans="1:7" x14ac:dyDescent="0.35">
      <c r="A329">
        <v>2017</v>
      </c>
      <c r="B329">
        <v>5</v>
      </c>
      <c r="C329" t="s">
        <v>8</v>
      </c>
      <c r="D329">
        <f>SUMIFS(
  fact_sales_monthly!$E:$E,
  fact_sales_monthly!$B:$B, A329,
  fact_sales_monthly!$C:$C, B329,
  fact_sales_monthly!$D:$D, C329
)</f>
        <v>161.81</v>
      </c>
      <c r="E329">
        <f t="shared" si="15"/>
        <v>161.81</v>
      </c>
      <c r="F329">
        <f t="shared" si="16"/>
        <v>40.452500000000001</v>
      </c>
      <c r="G329" t="str">
        <f t="shared" si="17"/>
        <v>2017-05</v>
      </c>
    </row>
    <row r="330" spans="1:7" x14ac:dyDescent="0.35">
      <c r="A330">
        <v>2017</v>
      </c>
      <c r="B330">
        <v>6</v>
      </c>
      <c r="C330" t="s">
        <v>1</v>
      </c>
      <c r="D330">
        <f>SUMIFS(
  fact_sales_monthly!$E:$E,
  fact_sales_monthly!$B:$B, A330,
  fact_sales_monthly!$C:$C, B330,
  fact_sales_monthly!$D:$D, C330
)</f>
        <v>122.33</v>
      </c>
      <c r="E330">
        <f t="shared" si="15"/>
        <v>122.33</v>
      </c>
      <c r="F330">
        <f t="shared" si="16"/>
        <v>30.5825</v>
      </c>
      <c r="G330" t="str">
        <f t="shared" si="17"/>
        <v>2017-06</v>
      </c>
    </row>
    <row r="331" spans="1:7" x14ac:dyDescent="0.35">
      <c r="A331">
        <v>2017</v>
      </c>
      <c r="B331">
        <v>6</v>
      </c>
      <c r="C331" t="s">
        <v>2</v>
      </c>
      <c r="D331">
        <f>SUMIFS(
  fact_sales_monthly!$E:$E,
  fact_sales_monthly!$B:$B, A331,
  fact_sales_monthly!$C:$C, B331,
  fact_sales_monthly!$D:$D, C331
)</f>
        <v>0</v>
      </c>
      <c r="E331">
        <f t="shared" si="15"/>
        <v>0</v>
      </c>
      <c r="F331">
        <f t="shared" si="16"/>
        <v>0</v>
      </c>
      <c r="G331" t="str">
        <f t="shared" si="17"/>
        <v>2017-06</v>
      </c>
    </row>
    <row r="332" spans="1:7" x14ac:dyDescent="0.35">
      <c r="A332">
        <v>2017</v>
      </c>
      <c r="B332">
        <v>6</v>
      </c>
      <c r="C332" t="s">
        <v>3</v>
      </c>
      <c r="D332">
        <f>SUMIFS(
  fact_sales_monthly!$E:$E,
  fact_sales_monthly!$B:$B, A332,
  fact_sales_monthly!$C:$C, B332,
  fact_sales_monthly!$D:$D, C332
)</f>
        <v>119.6</v>
      </c>
      <c r="E332">
        <f t="shared" si="15"/>
        <v>119.6</v>
      </c>
      <c r="F332">
        <f t="shared" si="16"/>
        <v>29.9</v>
      </c>
      <c r="G332" t="str">
        <f t="shared" si="17"/>
        <v>2017-06</v>
      </c>
    </row>
    <row r="333" spans="1:7" x14ac:dyDescent="0.35">
      <c r="A333">
        <v>2017</v>
      </c>
      <c r="B333">
        <v>6</v>
      </c>
      <c r="C333" t="s">
        <v>4</v>
      </c>
      <c r="D333">
        <f>SUMIFS(
  fact_sales_monthly!$E:$E,
  fact_sales_monthly!$B:$B, A333,
  fact_sales_monthly!$C:$C, B333,
  fact_sales_monthly!$D:$D, C333
)</f>
        <v>496.1</v>
      </c>
      <c r="E333">
        <f t="shared" si="15"/>
        <v>496.1</v>
      </c>
      <c r="F333">
        <f t="shared" si="16"/>
        <v>124.02500000000001</v>
      </c>
      <c r="G333" t="str">
        <f t="shared" si="17"/>
        <v>2017-06</v>
      </c>
    </row>
    <row r="334" spans="1:7" x14ac:dyDescent="0.35">
      <c r="A334">
        <v>2017</v>
      </c>
      <c r="B334">
        <v>6</v>
      </c>
      <c r="C334" t="s">
        <v>5</v>
      </c>
      <c r="D334">
        <f>SUMIFS(
  fact_sales_monthly!$E:$E,
  fact_sales_monthly!$B:$B, A334,
  fact_sales_monthly!$C:$C, B334,
  fact_sales_monthly!$D:$D, C334
)</f>
        <v>163</v>
      </c>
      <c r="E334">
        <f t="shared" si="15"/>
        <v>163</v>
      </c>
      <c r="F334">
        <f t="shared" si="16"/>
        <v>40.75</v>
      </c>
      <c r="G334" t="str">
        <f t="shared" si="17"/>
        <v>2017-06</v>
      </c>
    </row>
    <row r="335" spans="1:7" x14ac:dyDescent="0.35">
      <c r="A335">
        <v>2017</v>
      </c>
      <c r="B335">
        <v>6</v>
      </c>
      <c r="C335" t="s">
        <v>6</v>
      </c>
      <c r="D335">
        <f>SUMIFS(
  fact_sales_monthly!$E:$E,
  fact_sales_monthly!$B:$B, A335,
  fact_sales_monthly!$C:$C, B335,
  fact_sales_monthly!$D:$D, C335
)</f>
        <v>8</v>
      </c>
      <c r="E335">
        <f t="shared" si="15"/>
        <v>8</v>
      </c>
      <c r="F335">
        <f t="shared" si="16"/>
        <v>2</v>
      </c>
      <c r="G335" t="str">
        <f t="shared" si="17"/>
        <v>2017-06</v>
      </c>
    </row>
    <row r="336" spans="1:7" x14ac:dyDescent="0.35">
      <c r="A336">
        <v>2017</v>
      </c>
      <c r="B336">
        <v>6</v>
      </c>
      <c r="C336" t="s">
        <v>7</v>
      </c>
      <c r="D336">
        <f>SUMIFS(
  fact_sales_monthly!$E:$E,
  fact_sales_monthly!$B:$B, A336,
  fact_sales_monthly!$C:$C, B336,
  fact_sales_monthly!$D:$D, C336
)</f>
        <v>163</v>
      </c>
      <c r="E336">
        <f t="shared" si="15"/>
        <v>163</v>
      </c>
      <c r="F336">
        <f t="shared" si="16"/>
        <v>40.75</v>
      </c>
      <c r="G336" t="str">
        <f t="shared" si="17"/>
        <v>2017-06</v>
      </c>
    </row>
    <row r="337" spans="1:7" x14ac:dyDescent="0.35">
      <c r="A337">
        <v>2017</v>
      </c>
      <c r="B337">
        <v>6</v>
      </c>
      <c r="C337" t="s">
        <v>8</v>
      </c>
      <c r="D337">
        <f>SUMIFS(
  fact_sales_monthly!$E:$E,
  fact_sales_monthly!$B:$B, A337,
  fact_sales_monthly!$C:$C, B337,
  fact_sales_monthly!$D:$D, C337
)</f>
        <v>0</v>
      </c>
      <c r="E337">
        <f t="shared" si="15"/>
        <v>0</v>
      </c>
      <c r="F337">
        <f t="shared" si="16"/>
        <v>0</v>
      </c>
      <c r="G337" t="str">
        <f t="shared" si="17"/>
        <v>2017-06</v>
      </c>
    </row>
    <row r="338" spans="1:7" x14ac:dyDescent="0.35">
      <c r="A338">
        <v>2017</v>
      </c>
      <c r="B338">
        <v>7</v>
      </c>
      <c r="C338" t="s">
        <v>1</v>
      </c>
      <c r="D338">
        <f>SUMIFS(
  fact_sales_monthly!$E:$E,
  fact_sales_monthly!$B:$B, A338,
  fact_sales_monthly!$C:$C, B338,
  fact_sales_monthly!$D:$D, C338
)</f>
        <v>159.66999999999999</v>
      </c>
      <c r="E338">
        <f t="shared" si="15"/>
        <v>159.66999999999999</v>
      </c>
      <c r="F338">
        <f t="shared" si="16"/>
        <v>39.917499999999997</v>
      </c>
      <c r="G338" t="str">
        <f t="shared" si="17"/>
        <v>2017-07</v>
      </c>
    </row>
    <row r="339" spans="1:7" x14ac:dyDescent="0.35">
      <c r="A339">
        <v>2017</v>
      </c>
      <c r="B339">
        <v>7</v>
      </c>
      <c r="C339" t="s">
        <v>2</v>
      </c>
      <c r="D339">
        <f>SUMIFS(
  fact_sales_monthly!$E:$E,
  fact_sales_monthly!$B:$B, A339,
  fact_sales_monthly!$C:$C, B339,
  fact_sales_monthly!$D:$D, C339
)</f>
        <v>0</v>
      </c>
      <c r="E339">
        <f t="shared" si="15"/>
        <v>0</v>
      </c>
      <c r="F339">
        <f t="shared" si="16"/>
        <v>0</v>
      </c>
      <c r="G339" t="str">
        <f t="shared" si="17"/>
        <v>2017-07</v>
      </c>
    </row>
    <row r="340" spans="1:7" x14ac:dyDescent="0.35">
      <c r="A340">
        <v>2017</v>
      </c>
      <c r="B340">
        <v>7</v>
      </c>
      <c r="C340" t="s">
        <v>3</v>
      </c>
      <c r="D340">
        <f>SUMIFS(
  fact_sales_monthly!$E:$E,
  fact_sales_monthly!$B:$B, A340,
  fact_sales_monthly!$C:$C, B340,
  fact_sales_monthly!$D:$D, C340
)</f>
        <v>0</v>
      </c>
      <c r="E340">
        <f t="shared" si="15"/>
        <v>0</v>
      </c>
      <c r="F340">
        <f t="shared" si="16"/>
        <v>0</v>
      </c>
      <c r="G340" t="str">
        <f t="shared" si="17"/>
        <v>2017-07</v>
      </c>
    </row>
    <row r="341" spans="1:7" x14ac:dyDescent="0.35">
      <c r="A341">
        <v>2017</v>
      </c>
      <c r="B341">
        <v>7</v>
      </c>
      <c r="C341" t="s">
        <v>4</v>
      </c>
      <c r="D341">
        <f>SUMIFS(
  fact_sales_monthly!$E:$E,
  fact_sales_monthly!$B:$B, A341,
  fact_sales_monthly!$C:$C, B341,
  fact_sales_monthly!$D:$D, C341
)</f>
        <v>0</v>
      </c>
      <c r="E341">
        <f t="shared" si="15"/>
        <v>0</v>
      </c>
      <c r="F341">
        <f t="shared" si="16"/>
        <v>0</v>
      </c>
      <c r="G341" t="str">
        <f t="shared" si="17"/>
        <v>2017-07</v>
      </c>
    </row>
    <row r="342" spans="1:7" x14ac:dyDescent="0.35">
      <c r="A342">
        <v>2017</v>
      </c>
      <c r="B342">
        <v>7</v>
      </c>
      <c r="C342" t="s">
        <v>5</v>
      </c>
      <c r="D342">
        <f>SUMIFS(
  fact_sales_monthly!$E:$E,
  fact_sales_monthly!$B:$B, A342,
  fact_sales_monthly!$C:$C, B342,
  fact_sales_monthly!$D:$D, C342
)</f>
        <v>219</v>
      </c>
      <c r="E342">
        <f t="shared" si="15"/>
        <v>219</v>
      </c>
      <c r="F342">
        <f t="shared" si="16"/>
        <v>54.75</v>
      </c>
      <c r="G342" t="str">
        <f t="shared" si="17"/>
        <v>2017-07</v>
      </c>
    </row>
    <row r="343" spans="1:7" x14ac:dyDescent="0.35">
      <c r="A343">
        <v>2017</v>
      </c>
      <c r="B343">
        <v>7</v>
      </c>
      <c r="C343" t="s">
        <v>6</v>
      </c>
      <c r="D343">
        <f>SUMIFS(
  fact_sales_monthly!$E:$E,
  fact_sales_monthly!$B:$B, A343,
  fact_sales_monthly!$C:$C, B343,
  fact_sales_monthly!$D:$D, C343
)</f>
        <v>15</v>
      </c>
      <c r="E343">
        <f t="shared" si="15"/>
        <v>15</v>
      </c>
      <c r="F343">
        <f t="shared" si="16"/>
        <v>3.75</v>
      </c>
      <c r="G343" t="str">
        <f t="shared" si="17"/>
        <v>2017-07</v>
      </c>
    </row>
    <row r="344" spans="1:7" x14ac:dyDescent="0.35">
      <c r="A344">
        <v>2017</v>
      </c>
      <c r="B344">
        <v>7</v>
      </c>
      <c r="C344" t="s">
        <v>7</v>
      </c>
      <c r="D344">
        <f>SUMIFS(
  fact_sales_monthly!$E:$E,
  fact_sales_monthly!$B:$B, A344,
  fact_sales_monthly!$C:$C, B344,
  fact_sales_monthly!$D:$D, C344
)</f>
        <v>115</v>
      </c>
      <c r="E344">
        <f t="shared" si="15"/>
        <v>115</v>
      </c>
      <c r="F344">
        <f t="shared" si="16"/>
        <v>28.75</v>
      </c>
      <c r="G344" t="str">
        <f t="shared" si="17"/>
        <v>2017-07</v>
      </c>
    </row>
    <row r="345" spans="1:7" x14ac:dyDescent="0.35">
      <c r="A345">
        <v>2017</v>
      </c>
      <c r="B345">
        <v>7</v>
      </c>
      <c r="C345" t="s">
        <v>8</v>
      </c>
      <c r="D345">
        <f>SUMIFS(
  fact_sales_monthly!$E:$E,
  fact_sales_monthly!$B:$B, A345,
  fact_sales_monthly!$C:$C, B345,
  fact_sales_monthly!$D:$D, C345
)</f>
        <v>81.099999999999994</v>
      </c>
      <c r="E345">
        <f t="shared" si="15"/>
        <v>81.099999999999994</v>
      </c>
      <c r="F345">
        <f t="shared" si="16"/>
        <v>20.274999999999999</v>
      </c>
      <c r="G345" t="str">
        <f t="shared" si="17"/>
        <v>2017-07</v>
      </c>
    </row>
    <row r="346" spans="1:7" x14ac:dyDescent="0.35">
      <c r="A346">
        <v>2017</v>
      </c>
      <c r="B346">
        <v>8</v>
      </c>
      <c r="C346" t="s">
        <v>1</v>
      </c>
      <c r="D346">
        <f>SUMIFS(
  fact_sales_monthly!$E:$E,
  fact_sales_monthly!$B:$B, A346,
  fact_sales_monthly!$C:$C, B346,
  fact_sales_monthly!$D:$D, C346
)</f>
        <v>0</v>
      </c>
      <c r="E346">
        <f t="shared" si="15"/>
        <v>0</v>
      </c>
      <c r="F346">
        <f t="shared" si="16"/>
        <v>0</v>
      </c>
      <c r="G346" t="str">
        <f t="shared" si="17"/>
        <v>2017-08</v>
      </c>
    </row>
    <row r="347" spans="1:7" x14ac:dyDescent="0.35">
      <c r="A347">
        <v>2017</v>
      </c>
      <c r="B347">
        <v>8</v>
      </c>
      <c r="C347" t="s">
        <v>2</v>
      </c>
      <c r="D347">
        <f>SUMIFS(
  fact_sales_monthly!$E:$E,
  fact_sales_monthly!$B:$B, A347,
  fact_sales_monthly!$C:$C, B347,
  fact_sales_monthly!$D:$D, C347
)</f>
        <v>112.47</v>
      </c>
      <c r="E347">
        <f t="shared" si="15"/>
        <v>112.47</v>
      </c>
      <c r="F347">
        <f t="shared" si="16"/>
        <v>28.1175</v>
      </c>
      <c r="G347" t="str">
        <f t="shared" si="17"/>
        <v>2017-08</v>
      </c>
    </row>
    <row r="348" spans="1:7" x14ac:dyDescent="0.35">
      <c r="A348">
        <v>2017</v>
      </c>
      <c r="B348">
        <v>8</v>
      </c>
      <c r="C348" t="s">
        <v>3</v>
      </c>
      <c r="D348">
        <f>SUMIFS(
  fact_sales_monthly!$E:$E,
  fact_sales_monthly!$B:$B, A348,
  fact_sales_monthly!$C:$C, B348,
  fact_sales_monthly!$D:$D, C348
)</f>
        <v>84.4</v>
      </c>
      <c r="E348">
        <f t="shared" si="15"/>
        <v>84.4</v>
      </c>
      <c r="F348">
        <f t="shared" si="16"/>
        <v>21.1</v>
      </c>
      <c r="G348" t="str">
        <f t="shared" si="17"/>
        <v>2017-08</v>
      </c>
    </row>
    <row r="349" spans="1:7" x14ac:dyDescent="0.35">
      <c r="A349">
        <v>2017</v>
      </c>
      <c r="B349">
        <v>8</v>
      </c>
      <c r="C349" t="s">
        <v>4</v>
      </c>
      <c r="D349">
        <f>SUMIFS(
  fact_sales_monthly!$E:$E,
  fact_sales_monthly!$B:$B, A349,
  fact_sales_monthly!$C:$C, B349,
  fact_sales_monthly!$D:$D, C349
)</f>
        <v>549.29999999999995</v>
      </c>
      <c r="E349">
        <f t="shared" si="15"/>
        <v>549.29999999999995</v>
      </c>
      <c r="F349">
        <f t="shared" si="16"/>
        <v>137.32499999999999</v>
      </c>
      <c r="G349" t="str">
        <f t="shared" si="17"/>
        <v>2017-08</v>
      </c>
    </row>
    <row r="350" spans="1:7" x14ac:dyDescent="0.35">
      <c r="A350">
        <v>2017</v>
      </c>
      <c r="B350">
        <v>8</v>
      </c>
      <c r="C350" t="s">
        <v>5</v>
      </c>
      <c r="D350">
        <f>SUMIFS(
  fact_sales_monthly!$E:$E,
  fact_sales_monthly!$B:$B, A350,
  fact_sales_monthly!$C:$C, B350,
  fact_sales_monthly!$D:$D, C350
)</f>
        <v>239</v>
      </c>
      <c r="E350">
        <f t="shared" si="15"/>
        <v>239</v>
      </c>
      <c r="F350">
        <f t="shared" si="16"/>
        <v>59.75</v>
      </c>
      <c r="G350" t="str">
        <f t="shared" si="17"/>
        <v>2017-08</v>
      </c>
    </row>
    <row r="351" spans="1:7" x14ac:dyDescent="0.35">
      <c r="A351">
        <v>2017</v>
      </c>
      <c r="B351">
        <v>8</v>
      </c>
      <c r="C351" t="s">
        <v>6</v>
      </c>
      <c r="D351">
        <f>SUMIFS(
  fact_sales_monthly!$E:$E,
  fact_sales_monthly!$B:$B, A351,
  fact_sales_monthly!$C:$C, B351,
  fact_sales_monthly!$D:$D, C351
)</f>
        <v>12</v>
      </c>
      <c r="E351">
        <f t="shared" si="15"/>
        <v>12</v>
      </c>
      <c r="F351">
        <f t="shared" si="16"/>
        <v>3</v>
      </c>
      <c r="G351" t="str">
        <f t="shared" si="17"/>
        <v>2017-08</v>
      </c>
    </row>
    <row r="352" spans="1:7" x14ac:dyDescent="0.35">
      <c r="A352">
        <v>2017</v>
      </c>
      <c r="B352">
        <v>8</v>
      </c>
      <c r="C352" t="s">
        <v>7</v>
      </c>
      <c r="D352">
        <f>SUMIFS(
  fact_sales_monthly!$E:$E,
  fact_sales_monthly!$B:$B, A352,
  fact_sales_monthly!$C:$C, B352,
  fact_sales_monthly!$D:$D, C352
)</f>
        <v>75</v>
      </c>
      <c r="E352">
        <f t="shared" si="15"/>
        <v>75</v>
      </c>
      <c r="F352">
        <f t="shared" si="16"/>
        <v>18.75</v>
      </c>
      <c r="G352" t="str">
        <f t="shared" si="17"/>
        <v>2017-08</v>
      </c>
    </row>
    <row r="353" spans="1:7" x14ac:dyDescent="0.35">
      <c r="A353">
        <v>2017</v>
      </c>
      <c r="B353">
        <v>8</v>
      </c>
      <c r="C353" t="s">
        <v>8</v>
      </c>
      <c r="D353">
        <f>SUMIFS(
  fact_sales_monthly!$E:$E,
  fact_sales_monthly!$B:$B, A353,
  fact_sales_monthly!$C:$C, B353,
  fact_sales_monthly!$D:$D, C353
)</f>
        <v>60.1</v>
      </c>
      <c r="E353">
        <f t="shared" si="15"/>
        <v>60.1</v>
      </c>
      <c r="F353">
        <f t="shared" si="16"/>
        <v>15.025</v>
      </c>
      <c r="G353" t="str">
        <f t="shared" si="17"/>
        <v>2017-08</v>
      </c>
    </row>
    <row r="354" spans="1:7" x14ac:dyDescent="0.35">
      <c r="A354">
        <v>2017</v>
      </c>
      <c r="B354">
        <v>9</v>
      </c>
      <c r="C354" t="s">
        <v>1</v>
      </c>
      <c r="D354">
        <f>SUMIFS(
  fact_sales_monthly!$E:$E,
  fact_sales_monthly!$B:$B, A354,
  fact_sales_monthly!$C:$C, B354,
  fact_sales_monthly!$D:$D, C354
)</f>
        <v>138.33000000000001</v>
      </c>
      <c r="E354">
        <f t="shared" si="15"/>
        <v>138.33000000000001</v>
      </c>
      <c r="F354">
        <f t="shared" si="16"/>
        <v>34.582500000000003</v>
      </c>
      <c r="G354" t="str">
        <f t="shared" si="17"/>
        <v>2017-09</v>
      </c>
    </row>
    <row r="355" spans="1:7" x14ac:dyDescent="0.35">
      <c r="A355">
        <v>2017</v>
      </c>
      <c r="B355">
        <v>9</v>
      </c>
      <c r="C355" t="s">
        <v>2</v>
      </c>
      <c r="D355">
        <f>SUMIFS(
  fact_sales_monthly!$E:$E,
  fact_sales_monthly!$B:$B, A355,
  fact_sales_monthly!$C:$C, B355,
  fact_sales_monthly!$D:$D, C355
)</f>
        <v>0</v>
      </c>
      <c r="E355">
        <f t="shared" si="15"/>
        <v>0</v>
      </c>
      <c r="F355">
        <f t="shared" si="16"/>
        <v>0</v>
      </c>
      <c r="G355" t="str">
        <f t="shared" si="17"/>
        <v>2017-09</v>
      </c>
    </row>
    <row r="356" spans="1:7" x14ac:dyDescent="0.35">
      <c r="A356">
        <v>2017</v>
      </c>
      <c r="B356">
        <v>9</v>
      </c>
      <c r="C356" t="s">
        <v>3</v>
      </c>
      <c r="D356">
        <f>SUMIFS(
  fact_sales_monthly!$E:$E,
  fact_sales_monthly!$B:$B, A356,
  fact_sales_monthly!$C:$C, B356,
  fact_sales_monthly!$D:$D, C356
)</f>
        <v>0</v>
      </c>
      <c r="E356">
        <f t="shared" si="15"/>
        <v>0</v>
      </c>
      <c r="F356">
        <f t="shared" si="16"/>
        <v>0</v>
      </c>
      <c r="G356" t="str">
        <f t="shared" si="17"/>
        <v>2017-09</v>
      </c>
    </row>
    <row r="357" spans="1:7" x14ac:dyDescent="0.35">
      <c r="A357">
        <v>2017</v>
      </c>
      <c r="B357">
        <v>9</v>
      </c>
      <c r="C357" t="s">
        <v>4</v>
      </c>
      <c r="D357">
        <f>SUMIFS(
  fact_sales_monthly!$E:$E,
  fact_sales_monthly!$B:$B, A357,
  fact_sales_monthly!$C:$C, B357,
  fact_sales_monthly!$D:$D, C357
)</f>
        <v>0</v>
      </c>
      <c r="E357">
        <f t="shared" si="15"/>
        <v>0</v>
      </c>
      <c r="F357">
        <f t="shared" si="16"/>
        <v>0</v>
      </c>
      <c r="G357" t="str">
        <f t="shared" si="17"/>
        <v>2017-09</v>
      </c>
    </row>
    <row r="358" spans="1:7" x14ac:dyDescent="0.35">
      <c r="A358">
        <v>2017</v>
      </c>
      <c r="B358">
        <v>9</v>
      </c>
      <c r="C358" t="s">
        <v>5</v>
      </c>
      <c r="D358">
        <f>SUMIFS(
  fact_sales_monthly!$E:$E,
  fact_sales_monthly!$B:$B, A358,
  fact_sales_monthly!$C:$C, B358,
  fact_sales_monthly!$D:$D, C358
)</f>
        <v>223</v>
      </c>
      <c r="E358">
        <f t="shared" si="15"/>
        <v>223</v>
      </c>
      <c r="F358">
        <f t="shared" si="16"/>
        <v>55.75</v>
      </c>
      <c r="G358" t="str">
        <f t="shared" si="17"/>
        <v>2017-09</v>
      </c>
    </row>
    <row r="359" spans="1:7" x14ac:dyDescent="0.35">
      <c r="A359">
        <v>2017</v>
      </c>
      <c r="B359">
        <v>9</v>
      </c>
      <c r="C359" t="s">
        <v>6</v>
      </c>
      <c r="D359">
        <f>SUMIFS(
  fact_sales_monthly!$E:$E,
  fact_sales_monthly!$B:$B, A359,
  fact_sales_monthly!$C:$C, B359,
  fact_sales_monthly!$D:$D, C359
)</f>
        <v>23</v>
      </c>
      <c r="E359">
        <f t="shared" si="15"/>
        <v>23</v>
      </c>
      <c r="F359">
        <f t="shared" si="16"/>
        <v>5.75</v>
      </c>
      <c r="G359" t="str">
        <f t="shared" si="17"/>
        <v>2017-09</v>
      </c>
    </row>
    <row r="360" spans="1:7" x14ac:dyDescent="0.35">
      <c r="A360">
        <v>2017</v>
      </c>
      <c r="B360">
        <v>9</v>
      </c>
      <c r="C360" t="s">
        <v>7</v>
      </c>
      <c r="D360">
        <f>SUMIFS(
  fact_sales_monthly!$E:$E,
  fact_sales_monthly!$B:$B, A360,
  fact_sales_monthly!$C:$C, B360,
  fact_sales_monthly!$D:$D, C360
)</f>
        <v>139</v>
      </c>
      <c r="E360">
        <f t="shared" si="15"/>
        <v>139</v>
      </c>
      <c r="F360">
        <f t="shared" si="16"/>
        <v>34.75</v>
      </c>
      <c r="G360" t="str">
        <f t="shared" si="17"/>
        <v>2017-09</v>
      </c>
    </row>
    <row r="361" spans="1:7" x14ac:dyDescent="0.35">
      <c r="A361">
        <v>2017</v>
      </c>
      <c r="B361">
        <v>9</v>
      </c>
      <c r="C361" t="s">
        <v>8</v>
      </c>
      <c r="D361">
        <f>SUMIFS(
  fact_sales_monthly!$E:$E,
  fact_sales_monthly!$B:$B, A361,
  fact_sales_monthly!$C:$C, B361,
  fact_sales_monthly!$D:$D, C361
)</f>
        <v>66.900000000000006</v>
      </c>
      <c r="E361">
        <f t="shared" si="15"/>
        <v>66.900000000000006</v>
      </c>
      <c r="F361">
        <f t="shared" si="16"/>
        <v>16.725000000000001</v>
      </c>
      <c r="G361" t="str">
        <f t="shared" si="17"/>
        <v>2017-09</v>
      </c>
    </row>
    <row r="362" spans="1:7" x14ac:dyDescent="0.35">
      <c r="A362">
        <v>2017</v>
      </c>
      <c r="B362">
        <v>10</v>
      </c>
      <c r="C362" t="s">
        <v>1</v>
      </c>
      <c r="D362">
        <f>SUMIFS(
  fact_sales_monthly!$E:$E,
  fact_sales_monthly!$B:$B, A362,
  fact_sales_monthly!$C:$C, B362,
  fact_sales_monthly!$D:$D, C362
)</f>
        <v>0</v>
      </c>
      <c r="E362">
        <f t="shared" si="15"/>
        <v>0</v>
      </c>
      <c r="F362">
        <f t="shared" si="16"/>
        <v>0</v>
      </c>
      <c r="G362" t="str">
        <f t="shared" si="17"/>
        <v>2017-10</v>
      </c>
    </row>
    <row r="363" spans="1:7" x14ac:dyDescent="0.35">
      <c r="A363">
        <v>2017</v>
      </c>
      <c r="B363">
        <v>10</v>
      </c>
      <c r="C363" t="s">
        <v>2</v>
      </c>
      <c r="D363">
        <f>SUMIFS(
  fact_sales_monthly!$E:$E,
  fact_sales_monthly!$B:$B, A363,
  fact_sales_monthly!$C:$C, B363,
  fact_sales_monthly!$D:$D, C363
)</f>
        <v>88.736999999999995</v>
      </c>
      <c r="E363">
        <f t="shared" si="15"/>
        <v>88.736999999999995</v>
      </c>
      <c r="F363">
        <f t="shared" si="16"/>
        <v>22.184249999999999</v>
      </c>
      <c r="G363" t="str">
        <f t="shared" si="17"/>
        <v>2017-10</v>
      </c>
    </row>
    <row r="364" spans="1:7" x14ac:dyDescent="0.35">
      <c r="A364">
        <v>2017</v>
      </c>
      <c r="B364">
        <v>10</v>
      </c>
      <c r="C364" t="s">
        <v>3</v>
      </c>
      <c r="D364">
        <f>SUMIFS(
  fact_sales_monthly!$E:$E,
  fact_sales_monthly!$B:$B, A364,
  fact_sales_monthly!$C:$C, B364,
  fact_sales_monthly!$D:$D, C364
)</f>
        <v>0</v>
      </c>
      <c r="E364">
        <f t="shared" si="15"/>
        <v>0</v>
      </c>
      <c r="F364">
        <f t="shared" si="16"/>
        <v>0</v>
      </c>
      <c r="G364" t="str">
        <f t="shared" si="17"/>
        <v>2017-10</v>
      </c>
    </row>
    <row r="365" spans="1:7" x14ac:dyDescent="0.35">
      <c r="A365">
        <v>2017</v>
      </c>
      <c r="B365">
        <v>10</v>
      </c>
      <c r="C365" t="s">
        <v>4</v>
      </c>
      <c r="D365">
        <f>SUMIFS(
  fact_sales_monthly!$E:$E,
  fact_sales_monthly!$B:$B, A365,
  fact_sales_monthly!$C:$C, B365,
  fact_sales_monthly!$D:$D, C365
)</f>
        <v>0</v>
      </c>
      <c r="E365">
        <f t="shared" si="15"/>
        <v>0</v>
      </c>
      <c r="F365">
        <f t="shared" si="16"/>
        <v>0</v>
      </c>
      <c r="G365" t="str">
        <f t="shared" si="17"/>
        <v>2017-10</v>
      </c>
    </row>
    <row r="366" spans="1:7" x14ac:dyDescent="0.35">
      <c r="A366">
        <v>2017</v>
      </c>
      <c r="B366">
        <v>10</v>
      </c>
      <c r="C366" t="s">
        <v>5</v>
      </c>
      <c r="D366">
        <f>SUMIFS(
  fact_sales_monthly!$E:$E,
  fact_sales_monthly!$B:$B, A366,
  fact_sales_monthly!$C:$C, B366,
  fact_sales_monthly!$D:$D, C366
)</f>
        <v>226</v>
      </c>
      <c r="E366">
        <f t="shared" si="15"/>
        <v>226</v>
      </c>
      <c r="F366">
        <f t="shared" si="16"/>
        <v>56.5</v>
      </c>
      <c r="G366" t="str">
        <f t="shared" si="17"/>
        <v>2017-10</v>
      </c>
    </row>
    <row r="367" spans="1:7" x14ac:dyDescent="0.35">
      <c r="A367">
        <v>2017</v>
      </c>
      <c r="B367">
        <v>10</v>
      </c>
      <c r="C367" t="s">
        <v>6</v>
      </c>
      <c r="D367">
        <f>SUMIFS(
  fact_sales_monthly!$E:$E,
  fact_sales_monthly!$B:$B, A367,
  fact_sales_monthly!$C:$C, B367,
  fact_sales_monthly!$D:$D, C367
)</f>
        <v>15</v>
      </c>
      <c r="E367">
        <f t="shared" si="15"/>
        <v>15</v>
      </c>
      <c r="F367">
        <f t="shared" si="16"/>
        <v>3.75</v>
      </c>
      <c r="G367" t="str">
        <f t="shared" si="17"/>
        <v>2017-10</v>
      </c>
    </row>
    <row r="368" spans="1:7" x14ac:dyDescent="0.35">
      <c r="A368">
        <v>2017</v>
      </c>
      <c r="B368">
        <v>10</v>
      </c>
      <c r="C368" t="s">
        <v>7</v>
      </c>
      <c r="D368">
        <f>SUMIFS(
  fact_sales_monthly!$E:$E,
  fact_sales_monthly!$B:$B, A368,
  fact_sales_monthly!$C:$C, B368,
  fact_sales_monthly!$D:$D, C368
)</f>
        <v>247</v>
      </c>
      <c r="E368">
        <f t="shared" si="15"/>
        <v>247</v>
      </c>
      <c r="F368">
        <f t="shared" si="16"/>
        <v>61.75</v>
      </c>
      <c r="G368" t="str">
        <f t="shared" si="17"/>
        <v>2017-10</v>
      </c>
    </row>
    <row r="369" spans="1:7" x14ac:dyDescent="0.35">
      <c r="A369">
        <v>2017</v>
      </c>
      <c r="B369">
        <v>10</v>
      </c>
      <c r="C369" t="s">
        <v>8</v>
      </c>
      <c r="D369">
        <f>SUMIFS(
  fact_sales_monthly!$E:$E,
  fact_sales_monthly!$B:$B, A369,
  fact_sales_monthly!$C:$C, B369,
  fact_sales_monthly!$D:$D, C369
)</f>
        <v>51</v>
      </c>
      <c r="E369">
        <f t="shared" si="15"/>
        <v>51</v>
      </c>
      <c r="F369">
        <f t="shared" si="16"/>
        <v>12.75</v>
      </c>
      <c r="G369" t="str">
        <f t="shared" si="17"/>
        <v>2017-10</v>
      </c>
    </row>
    <row r="370" spans="1:7" x14ac:dyDescent="0.35">
      <c r="A370">
        <v>2017</v>
      </c>
      <c r="B370">
        <v>11</v>
      </c>
      <c r="C370" t="s">
        <v>1</v>
      </c>
      <c r="D370">
        <f>SUMIFS(
  fact_sales_monthly!$E:$E,
  fact_sales_monthly!$B:$B, A370,
  fact_sales_monthly!$C:$C, B370,
  fact_sales_monthly!$D:$D, C370
)</f>
        <v>0</v>
      </c>
      <c r="E370">
        <f t="shared" si="15"/>
        <v>0</v>
      </c>
      <c r="F370">
        <f t="shared" si="16"/>
        <v>0</v>
      </c>
      <c r="G370" t="str">
        <f t="shared" si="17"/>
        <v>2017-11</v>
      </c>
    </row>
    <row r="371" spans="1:7" x14ac:dyDescent="0.35">
      <c r="A371">
        <v>2017</v>
      </c>
      <c r="B371">
        <v>11</v>
      </c>
      <c r="C371" t="s">
        <v>2</v>
      </c>
      <c r="D371">
        <f>SUMIFS(
  fact_sales_monthly!$E:$E,
  fact_sales_monthly!$B:$B, A371,
  fact_sales_monthly!$C:$C, B371,
  fact_sales_monthly!$D:$D, C371
)</f>
        <v>0</v>
      </c>
      <c r="E371">
        <f t="shared" si="15"/>
        <v>0</v>
      </c>
      <c r="F371">
        <f t="shared" si="16"/>
        <v>0</v>
      </c>
      <c r="G371" t="str">
        <f t="shared" si="17"/>
        <v>2017-11</v>
      </c>
    </row>
    <row r="372" spans="1:7" x14ac:dyDescent="0.35">
      <c r="A372">
        <v>2017</v>
      </c>
      <c r="B372">
        <v>11</v>
      </c>
      <c r="C372" t="s">
        <v>3</v>
      </c>
      <c r="D372">
        <f>SUMIFS(
  fact_sales_monthly!$E:$E,
  fact_sales_monthly!$B:$B, A372,
  fact_sales_monthly!$C:$C, B372,
  fact_sales_monthly!$D:$D, C372
)</f>
        <v>104.45</v>
      </c>
      <c r="E372">
        <f t="shared" si="15"/>
        <v>104.45</v>
      </c>
      <c r="F372">
        <f t="shared" si="16"/>
        <v>26.112500000000001</v>
      </c>
      <c r="G372" t="str">
        <f t="shared" si="17"/>
        <v>2017-11</v>
      </c>
    </row>
    <row r="373" spans="1:7" x14ac:dyDescent="0.35">
      <c r="A373">
        <v>2017</v>
      </c>
      <c r="B373">
        <v>11</v>
      </c>
      <c r="C373" t="s">
        <v>4</v>
      </c>
      <c r="D373">
        <f>SUMIFS(
  fact_sales_monthly!$E:$E,
  fact_sales_monthly!$B:$B, A373,
  fact_sales_monthly!$C:$C, B373,
  fact_sales_monthly!$D:$D, C373
)</f>
        <v>0</v>
      </c>
      <c r="E373">
        <f t="shared" si="15"/>
        <v>0</v>
      </c>
      <c r="F373">
        <f t="shared" si="16"/>
        <v>0</v>
      </c>
      <c r="G373" t="str">
        <f t="shared" si="17"/>
        <v>2017-11</v>
      </c>
    </row>
    <row r="374" spans="1:7" x14ac:dyDescent="0.35">
      <c r="A374">
        <v>2017</v>
      </c>
      <c r="B374">
        <v>11</v>
      </c>
      <c r="C374" t="s">
        <v>5</v>
      </c>
      <c r="D374">
        <f>SUMIFS(
  fact_sales_monthly!$E:$E,
  fact_sales_monthly!$B:$B, A374,
  fact_sales_monthly!$C:$C, B374,
  fact_sales_monthly!$D:$D, C374
)</f>
        <v>192</v>
      </c>
      <c r="E374">
        <f t="shared" si="15"/>
        <v>192</v>
      </c>
      <c r="F374">
        <f t="shared" si="16"/>
        <v>48</v>
      </c>
      <c r="G374" t="str">
        <f t="shared" si="17"/>
        <v>2017-11</v>
      </c>
    </row>
    <row r="375" spans="1:7" x14ac:dyDescent="0.35">
      <c r="A375">
        <v>2017</v>
      </c>
      <c r="B375">
        <v>11</v>
      </c>
      <c r="C375" t="s">
        <v>6</v>
      </c>
      <c r="D375">
        <f>SUMIFS(
  fact_sales_monthly!$E:$E,
  fact_sales_monthly!$B:$B, A375,
  fact_sales_monthly!$C:$C, B375,
  fact_sales_monthly!$D:$D, C375
)</f>
        <v>15</v>
      </c>
      <c r="E375">
        <f t="shared" si="15"/>
        <v>15</v>
      </c>
      <c r="F375">
        <f t="shared" si="16"/>
        <v>3.75</v>
      </c>
      <c r="G375" t="str">
        <f t="shared" si="17"/>
        <v>2017-11</v>
      </c>
    </row>
    <row r="376" spans="1:7" x14ac:dyDescent="0.35">
      <c r="A376">
        <v>2017</v>
      </c>
      <c r="B376">
        <v>11</v>
      </c>
      <c r="C376" t="s">
        <v>7</v>
      </c>
      <c r="D376">
        <f>SUMIFS(
  fact_sales_monthly!$E:$E,
  fact_sales_monthly!$B:$B, A376,
  fact_sales_monthly!$C:$C, B376,
  fact_sales_monthly!$D:$D, C376
)</f>
        <v>196</v>
      </c>
      <c r="E376">
        <f t="shared" si="15"/>
        <v>196</v>
      </c>
      <c r="F376">
        <f t="shared" si="16"/>
        <v>49</v>
      </c>
      <c r="G376" t="str">
        <f t="shared" si="17"/>
        <v>2017-11</v>
      </c>
    </row>
    <row r="377" spans="1:7" x14ac:dyDescent="0.35">
      <c r="A377">
        <v>2017</v>
      </c>
      <c r="B377">
        <v>11</v>
      </c>
      <c r="C377" t="s">
        <v>8</v>
      </c>
      <c r="D377">
        <f>SUMIFS(
  fact_sales_monthly!$E:$E,
  fact_sales_monthly!$B:$B, A377,
  fact_sales_monthly!$C:$C, B377,
  fact_sales_monthly!$D:$D, C377
)</f>
        <v>0</v>
      </c>
      <c r="E377">
        <f t="shared" si="15"/>
        <v>0</v>
      </c>
      <c r="F377">
        <f t="shared" si="16"/>
        <v>0</v>
      </c>
      <c r="G377" t="str">
        <f t="shared" si="17"/>
        <v>2017-11</v>
      </c>
    </row>
    <row r="378" spans="1:7" x14ac:dyDescent="0.35">
      <c r="A378">
        <v>2017</v>
      </c>
      <c r="B378">
        <v>12</v>
      </c>
      <c r="C378" t="s">
        <v>1</v>
      </c>
      <c r="D378">
        <f>SUMIFS(
  fact_sales_monthly!$E:$E,
  fact_sales_monthly!$B:$B, A378,
  fact_sales_monthly!$C:$C, B378,
  fact_sales_monthly!$D:$D, C378
)</f>
        <v>0</v>
      </c>
      <c r="E378">
        <f t="shared" si="15"/>
        <v>0</v>
      </c>
      <c r="F378">
        <f t="shared" si="16"/>
        <v>0</v>
      </c>
      <c r="G378" t="str">
        <f t="shared" si="17"/>
        <v>2017-12</v>
      </c>
    </row>
    <row r="379" spans="1:7" x14ac:dyDescent="0.35">
      <c r="A379">
        <v>2017</v>
      </c>
      <c r="B379">
        <v>12</v>
      </c>
      <c r="C379" t="s">
        <v>2</v>
      </c>
      <c r="D379">
        <f>SUMIFS(
  fact_sales_monthly!$E:$E,
  fact_sales_monthly!$B:$B, A379,
  fact_sales_monthly!$C:$C, B379,
  fact_sales_monthly!$D:$D, C379
)</f>
        <v>0</v>
      </c>
      <c r="E379">
        <f t="shared" si="15"/>
        <v>0</v>
      </c>
      <c r="F379">
        <f t="shared" si="16"/>
        <v>0</v>
      </c>
      <c r="G379" t="str">
        <f t="shared" si="17"/>
        <v>2017-12</v>
      </c>
    </row>
    <row r="380" spans="1:7" x14ac:dyDescent="0.35">
      <c r="A380">
        <v>2017</v>
      </c>
      <c r="B380">
        <v>12</v>
      </c>
      <c r="C380" t="s">
        <v>3</v>
      </c>
      <c r="D380">
        <f>SUMIFS(
  fact_sales_monthly!$E:$E,
  fact_sales_monthly!$B:$B, A380,
  fact_sales_monthly!$C:$C, B380,
  fact_sales_monthly!$D:$D, C380
)</f>
        <v>0</v>
      </c>
      <c r="E380">
        <f t="shared" si="15"/>
        <v>0</v>
      </c>
      <c r="F380">
        <f t="shared" si="16"/>
        <v>0</v>
      </c>
      <c r="G380" t="str">
        <f t="shared" si="17"/>
        <v>2017-12</v>
      </c>
    </row>
    <row r="381" spans="1:7" x14ac:dyDescent="0.35">
      <c r="A381">
        <v>2017</v>
      </c>
      <c r="B381">
        <v>12</v>
      </c>
      <c r="C381" t="s">
        <v>4</v>
      </c>
      <c r="D381">
        <f>SUMIFS(
  fact_sales_monthly!$E:$E,
  fact_sales_monthly!$B:$B, A381,
  fact_sales_monthly!$C:$C, B381,
  fact_sales_monthly!$D:$D, C381
)</f>
        <v>0</v>
      </c>
      <c r="E381">
        <f t="shared" si="15"/>
        <v>0</v>
      </c>
      <c r="F381">
        <f t="shared" si="16"/>
        <v>0</v>
      </c>
      <c r="G381" t="str">
        <f t="shared" si="17"/>
        <v>2017-12</v>
      </c>
    </row>
    <row r="382" spans="1:7" x14ac:dyDescent="0.35">
      <c r="A382">
        <v>2017</v>
      </c>
      <c r="B382">
        <v>12</v>
      </c>
      <c r="C382" t="s">
        <v>5</v>
      </c>
      <c r="D382">
        <f>SUMIFS(
  fact_sales_monthly!$E:$E,
  fact_sales_monthly!$B:$B, A382,
  fact_sales_monthly!$C:$C, B382,
  fact_sales_monthly!$D:$D, C382
)</f>
        <v>226</v>
      </c>
      <c r="E382">
        <f t="shared" si="15"/>
        <v>226</v>
      </c>
      <c r="F382">
        <f t="shared" si="16"/>
        <v>56.5</v>
      </c>
      <c r="G382" t="str">
        <f t="shared" si="17"/>
        <v>2017-12</v>
      </c>
    </row>
    <row r="383" spans="1:7" x14ac:dyDescent="0.35">
      <c r="A383">
        <v>2017</v>
      </c>
      <c r="B383">
        <v>12</v>
      </c>
      <c r="C383" t="s">
        <v>6</v>
      </c>
      <c r="D383">
        <f>SUMIFS(
  fact_sales_monthly!$E:$E,
  fact_sales_monthly!$B:$B, A383,
  fact_sales_monthly!$C:$C, B383,
  fact_sales_monthly!$D:$D, C383
)</f>
        <v>6</v>
      </c>
      <c r="E383">
        <f t="shared" si="15"/>
        <v>6</v>
      </c>
      <c r="F383">
        <f t="shared" si="16"/>
        <v>1.5</v>
      </c>
      <c r="G383" t="str">
        <f t="shared" si="17"/>
        <v>2017-12</v>
      </c>
    </row>
    <row r="384" spans="1:7" x14ac:dyDescent="0.35">
      <c r="A384">
        <v>2017</v>
      </c>
      <c r="B384">
        <v>12</v>
      </c>
      <c r="C384" t="s">
        <v>7</v>
      </c>
      <c r="D384">
        <f>SUMIFS(
  fact_sales_monthly!$E:$E,
  fact_sales_monthly!$B:$B, A384,
  fact_sales_monthly!$C:$C, B384,
  fact_sales_monthly!$D:$D, C384
)</f>
        <v>204</v>
      </c>
      <c r="E384">
        <f t="shared" si="15"/>
        <v>204</v>
      </c>
      <c r="F384">
        <f t="shared" si="16"/>
        <v>51</v>
      </c>
      <c r="G384" t="str">
        <f t="shared" si="17"/>
        <v>2017-12</v>
      </c>
    </row>
    <row r="385" spans="1:7" x14ac:dyDescent="0.35">
      <c r="A385">
        <v>2017</v>
      </c>
      <c r="B385">
        <v>12</v>
      </c>
      <c r="C385" t="s">
        <v>8</v>
      </c>
      <c r="D385">
        <f>SUMIFS(
  fact_sales_monthly!$E:$E,
  fact_sales_monthly!$B:$B, A385,
  fact_sales_monthly!$C:$C, B385,
  fact_sales_monthly!$D:$D, C385
)</f>
        <v>47.1</v>
      </c>
      <c r="E385">
        <f t="shared" si="15"/>
        <v>47.1</v>
      </c>
      <c r="F385">
        <f t="shared" si="16"/>
        <v>11.775</v>
      </c>
      <c r="G385" t="str">
        <f t="shared" si="17"/>
        <v>2017-12</v>
      </c>
    </row>
    <row r="386" spans="1:7" x14ac:dyDescent="0.35">
      <c r="A386">
        <v>2018</v>
      </c>
      <c r="B386">
        <v>1</v>
      </c>
      <c r="C386" t="s">
        <v>1</v>
      </c>
      <c r="D386">
        <f>SUMIFS(
  fact_sales_monthly!$E:$E,
  fact_sales_monthly!$B:$B, A386,
  fact_sales_monthly!$C:$C, B386,
  fact_sales_monthly!$D:$D, C386
)</f>
        <v>132.28</v>
      </c>
      <c r="E386">
        <f t="shared" si="15"/>
        <v>132.28</v>
      </c>
      <c r="F386">
        <f t="shared" si="16"/>
        <v>33.07</v>
      </c>
      <c r="G386" t="str">
        <f t="shared" si="17"/>
        <v>2018-01</v>
      </c>
    </row>
    <row r="387" spans="1:7" x14ac:dyDescent="0.35">
      <c r="A387">
        <v>2018</v>
      </c>
      <c r="B387">
        <v>1</v>
      </c>
      <c r="C387" t="s">
        <v>2</v>
      </c>
      <c r="D387">
        <f>SUMIFS(
  fact_sales_monthly!$E:$E,
  fact_sales_monthly!$B:$B, A387,
  fact_sales_monthly!$C:$C, B387,
  fact_sales_monthly!$D:$D, C387
)</f>
        <v>0</v>
      </c>
      <c r="E387">
        <f t="shared" ref="E387:E450" si="18">D387 * 1</f>
        <v>0</v>
      </c>
      <c r="F387">
        <f t="shared" ref="F387:F450" si="19">D387 * 0.25</f>
        <v>0</v>
      </c>
      <c r="G387" t="str">
        <f t="shared" ref="G387:G450" si="20">TEXT(DATE(A387, B387, 1), "yyyy-mm")</f>
        <v>2018-01</v>
      </c>
    </row>
    <row r="388" spans="1:7" x14ac:dyDescent="0.35">
      <c r="A388">
        <v>2018</v>
      </c>
      <c r="B388">
        <v>1</v>
      </c>
      <c r="C388" t="s">
        <v>3</v>
      </c>
      <c r="D388">
        <f>SUMIFS(
  fact_sales_monthly!$E:$E,
  fact_sales_monthly!$B:$B, A388,
  fact_sales_monthly!$C:$C, B388,
  fact_sales_monthly!$D:$D, C388
)</f>
        <v>0</v>
      </c>
      <c r="E388">
        <f t="shared" si="18"/>
        <v>0</v>
      </c>
      <c r="F388">
        <f t="shared" si="19"/>
        <v>0</v>
      </c>
      <c r="G388" t="str">
        <f t="shared" si="20"/>
        <v>2018-01</v>
      </c>
    </row>
    <row r="389" spans="1:7" x14ac:dyDescent="0.35">
      <c r="A389">
        <v>2018</v>
      </c>
      <c r="B389">
        <v>1</v>
      </c>
      <c r="C389" t="s">
        <v>4</v>
      </c>
      <c r="D389">
        <f>SUMIFS(
  fact_sales_monthly!$E:$E,
  fact_sales_monthly!$B:$B, A389,
  fact_sales_monthly!$C:$C, B389,
  fact_sales_monthly!$D:$D, C389
)</f>
        <v>1134.325</v>
      </c>
      <c r="E389">
        <f t="shared" si="18"/>
        <v>1134.325</v>
      </c>
      <c r="F389">
        <f t="shared" si="19"/>
        <v>283.58125000000001</v>
      </c>
      <c r="G389" t="str">
        <f t="shared" si="20"/>
        <v>2018-01</v>
      </c>
    </row>
    <row r="390" spans="1:7" x14ac:dyDescent="0.35">
      <c r="A390">
        <v>2018</v>
      </c>
      <c r="B390">
        <v>1</v>
      </c>
      <c r="C390" t="s">
        <v>5</v>
      </c>
      <c r="D390">
        <f>SUMIFS(
  fact_sales_monthly!$E:$E,
  fact_sales_monthly!$B:$B, A390,
  fact_sales_monthly!$C:$C, B390,
  fact_sales_monthly!$D:$D, C390
)</f>
        <v>229</v>
      </c>
      <c r="E390">
        <f t="shared" si="18"/>
        <v>229</v>
      </c>
      <c r="F390">
        <f t="shared" si="19"/>
        <v>57.25</v>
      </c>
      <c r="G390" t="str">
        <f t="shared" si="20"/>
        <v>2018-01</v>
      </c>
    </row>
    <row r="391" spans="1:7" x14ac:dyDescent="0.35">
      <c r="A391">
        <v>2018</v>
      </c>
      <c r="B391">
        <v>1</v>
      </c>
      <c r="C391" t="s">
        <v>6</v>
      </c>
      <c r="D391">
        <f>SUMIFS(
  fact_sales_monthly!$E:$E,
  fact_sales_monthly!$B:$B, A391,
  fact_sales_monthly!$C:$C, B391,
  fact_sales_monthly!$D:$D, C391
)</f>
        <v>11</v>
      </c>
      <c r="E391">
        <f t="shared" si="18"/>
        <v>11</v>
      </c>
      <c r="F391">
        <f t="shared" si="19"/>
        <v>2.75</v>
      </c>
      <c r="G391" t="str">
        <f t="shared" si="20"/>
        <v>2018-01</v>
      </c>
    </row>
    <row r="392" spans="1:7" x14ac:dyDescent="0.35">
      <c r="A392">
        <v>2018</v>
      </c>
      <c r="B392">
        <v>1</v>
      </c>
      <c r="C392" t="s">
        <v>7</v>
      </c>
      <c r="D392">
        <f>SUMIFS(
  fact_sales_monthly!$E:$E,
  fact_sales_monthly!$B:$B, A392,
  fact_sales_monthly!$C:$C, B392,
  fact_sales_monthly!$D:$D, C392
)</f>
        <v>219</v>
      </c>
      <c r="E392">
        <f t="shared" si="18"/>
        <v>219</v>
      </c>
      <c r="F392">
        <f t="shared" si="19"/>
        <v>54.75</v>
      </c>
      <c r="G392" t="str">
        <f t="shared" si="20"/>
        <v>2018-01</v>
      </c>
    </row>
    <row r="393" spans="1:7" x14ac:dyDescent="0.35">
      <c r="A393">
        <v>2018</v>
      </c>
      <c r="B393">
        <v>1</v>
      </c>
      <c r="C393" t="s">
        <v>8</v>
      </c>
      <c r="D393">
        <f>SUMIFS(
  fact_sales_monthly!$E:$E,
  fact_sales_monthly!$B:$B, A393,
  fact_sales_monthly!$C:$C, B393,
  fact_sales_monthly!$D:$D, C393
)</f>
        <v>49.5</v>
      </c>
      <c r="E393">
        <f t="shared" si="18"/>
        <v>49.5</v>
      </c>
      <c r="F393">
        <f t="shared" si="19"/>
        <v>12.375</v>
      </c>
      <c r="G393" t="str">
        <f t="shared" si="20"/>
        <v>2018-01</v>
      </c>
    </row>
    <row r="394" spans="1:7" x14ac:dyDescent="0.35">
      <c r="A394">
        <v>2018</v>
      </c>
      <c r="B394">
        <v>2</v>
      </c>
      <c r="C394" t="s">
        <v>1</v>
      </c>
      <c r="D394">
        <f>SUMIFS(
  fact_sales_monthly!$E:$E,
  fact_sales_monthly!$B:$B, A394,
  fact_sales_monthly!$C:$C, B394,
  fact_sales_monthly!$D:$D, C394
)</f>
        <v>128.36000000000001</v>
      </c>
      <c r="E394">
        <f t="shared" si="18"/>
        <v>128.36000000000001</v>
      </c>
      <c r="F394">
        <f t="shared" si="19"/>
        <v>32.090000000000003</v>
      </c>
      <c r="G394" t="str">
        <f t="shared" si="20"/>
        <v>2018-02</v>
      </c>
    </row>
    <row r="395" spans="1:7" x14ac:dyDescent="0.35">
      <c r="A395">
        <v>2018</v>
      </c>
      <c r="B395">
        <v>2</v>
      </c>
      <c r="C395" t="s">
        <v>2</v>
      </c>
      <c r="D395">
        <f>SUMIFS(
  fact_sales_monthly!$E:$E,
  fact_sales_monthly!$B:$B, A395,
  fact_sales_monthly!$C:$C, B395,
  fact_sales_monthly!$D:$D, C395
)</f>
        <v>0</v>
      </c>
      <c r="E395">
        <f t="shared" si="18"/>
        <v>0</v>
      </c>
      <c r="F395">
        <f t="shared" si="19"/>
        <v>0</v>
      </c>
      <c r="G395" t="str">
        <f t="shared" si="20"/>
        <v>2018-02</v>
      </c>
    </row>
    <row r="396" spans="1:7" x14ac:dyDescent="0.35">
      <c r="A396">
        <v>2018</v>
      </c>
      <c r="B396">
        <v>2</v>
      </c>
      <c r="C396" t="s">
        <v>3</v>
      </c>
      <c r="D396">
        <f>SUMIFS(
  fact_sales_monthly!$E:$E,
  fact_sales_monthly!$B:$B, A396,
  fact_sales_monthly!$C:$C, B396,
  fact_sales_monthly!$D:$D, C396
)</f>
        <v>0</v>
      </c>
      <c r="E396">
        <f t="shared" si="18"/>
        <v>0</v>
      </c>
      <c r="F396">
        <f t="shared" si="19"/>
        <v>0</v>
      </c>
      <c r="G396" t="str">
        <f t="shared" si="20"/>
        <v>2018-02</v>
      </c>
    </row>
    <row r="397" spans="1:7" x14ac:dyDescent="0.35">
      <c r="A397">
        <v>2018</v>
      </c>
      <c r="B397">
        <v>2</v>
      </c>
      <c r="C397" t="s">
        <v>4</v>
      </c>
      <c r="D397">
        <f>SUMIFS(
  fact_sales_monthly!$E:$E,
  fact_sales_monthly!$B:$B, A397,
  fact_sales_monthly!$C:$C, B397,
  fact_sales_monthly!$D:$D, C397
)</f>
        <v>0</v>
      </c>
      <c r="E397">
        <f t="shared" si="18"/>
        <v>0</v>
      </c>
      <c r="F397">
        <f t="shared" si="19"/>
        <v>0</v>
      </c>
      <c r="G397" t="str">
        <f t="shared" si="20"/>
        <v>2018-02</v>
      </c>
    </row>
    <row r="398" spans="1:7" x14ac:dyDescent="0.35">
      <c r="A398">
        <v>2018</v>
      </c>
      <c r="B398">
        <v>2</v>
      </c>
      <c r="C398" t="s">
        <v>5</v>
      </c>
      <c r="D398">
        <f>SUMIFS(
  fact_sales_monthly!$E:$E,
  fact_sales_monthly!$B:$B, A398,
  fact_sales_monthly!$C:$C, B398,
  fact_sales_monthly!$D:$D, C398
)</f>
        <v>268</v>
      </c>
      <c r="E398">
        <f t="shared" si="18"/>
        <v>268</v>
      </c>
      <c r="F398">
        <f t="shared" si="19"/>
        <v>67</v>
      </c>
      <c r="G398" t="str">
        <f t="shared" si="20"/>
        <v>2018-02</v>
      </c>
    </row>
    <row r="399" spans="1:7" x14ac:dyDescent="0.35">
      <c r="A399">
        <v>2018</v>
      </c>
      <c r="B399">
        <v>2</v>
      </c>
      <c r="C399" t="s">
        <v>6</v>
      </c>
      <c r="D399">
        <f>SUMIFS(
  fact_sales_monthly!$E:$E,
  fact_sales_monthly!$B:$B, A399,
  fact_sales_monthly!$C:$C, B399,
  fact_sales_monthly!$D:$D, C399
)</f>
        <v>12</v>
      </c>
      <c r="E399">
        <f t="shared" si="18"/>
        <v>12</v>
      </c>
      <c r="F399">
        <f t="shared" si="19"/>
        <v>3</v>
      </c>
      <c r="G399" t="str">
        <f t="shared" si="20"/>
        <v>2018-02</v>
      </c>
    </row>
    <row r="400" spans="1:7" x14ac:dyDescent="0.35">
      <c r="A400">
        <v>2018</v>
      </c>
      <c r="B400">
        <v>2</v>
      </c>
      <c r="C400" t="s">
        <v>7</v>
      </c>
      <c r="D400">
        <f>SUMIFS(
  fact_sales_monthly!$E:$E,
  fact_sales_monthly!$B:$B, A400,
  fact_sales_monthly!$C:$C, B400,
  fact_sales_monthly!$D:$D, C400
)</f>
        <v>253</v>
      </c>
      <c r="E400">
        <f t="shared" si="18"/>
        <v>253</v>
      </c>
      <c r="F400">
        <f t="shared" si="19"/>
        <v>63.25</v>
      </c>
      <c r="G400" t="str">
        <f t="shared" si="20"/>
        <v>2018-02</v>
      </c>
    </row>
    <row r="401" spans="1:7" x14ac:dyDescent="0.35">
      <c r="A401">
        <v>2018</v>
      </c>
      <c r="B401">
        <v>2</v>
      </c>
      <c r="C401" t="s">
        <v>8</v>
      </c>
      <c r="D401">
        <f>SUMIFS(
  fact_sales_monthly!$E:$E,
  fact_sales_monthly!$B:$B, A401,
  fact_sales_monthly!$C:$C, B401,
  fact_sales_monthly!$D:$D, C401
)</f>
        <v>39.06</v>
      </c>
      <c r="E401">
        <f t="shared" si="18"/>
        <v>39.06</v>
      </c>
      <c r="F401">
        <f t="shared" si="19"/>
        <v>9.7650000000000006</v>
      </c>
      <c r="G401" t="str">
        <f t="shared" si="20"/>
        <v>2018-02</v>
      </c>
    </row>
    <row r="402" spans="1:7" x14ac:dyDescent="0.35">
      <c r="A402">
        <v>2018</v>
      </c>
      <c r="B402">
        <v>3</v>
      </c>
      <c r="C402" t="s">
        <v>1</v>
      </c>
      <c r="D402">
        <f>SUMIFS(
  fact_sales_monthly!$E:$E,
  fact_sales_monthly!$B:$B, A402,
  fact_sales_monthly!$C:$C, B402,
  fact_sales_monthly!$D:$D, C402
)</f>
        <v>146.16</v>
      </c>
      <c r="E402">
        <f t="shared" si="18"/>
        <v>146.16</v>
      </c>
      <c r="F402">
        <f t="shared" si="19"/>
        <v>36.54</v>
      </c>
      <c r="G402" t="str">
        <f t="shared" si="20"/>
        <v>2018-03</v>
      </c>
    </row>
    <row r="403" spans="1:7" x14ac:dyDescent="0.35">
      <c r="A403">
        <v>2018</v>
      </c>
      <c r="B403">
        <v>3</v>
      </c>
      <c r="C403" t="s">
        <v>2</v>
      </c>
      <c r="D403">
        <f>SUMIFS(
  fact_sales_monthly!$E:$E,
  fact_sales_monthly!$B:$B, A403,
  fact_sales_monthly!$C:$C, B403,
  fact_sales_monthly!$D:$D, C403
)</f>
        <v>0</v>
      </c>
      <c r="E403">
        <f t="shared" si="18"/>
        <v>0</v>
      </c>
      <c r="F403">
        <f t="shared" si="19"/>
        <v>0</v>
      </c>
      <c r="G403" t="str">
        <f t="shared" si="20"/>
        <v>2018-03</v>
      </c>
    </row>
    <row r="404" spans="1:7" x14ac:dyDescent="0.35">
      <c r="A404">
        <v>2018</v>
      </c>
      <c r="B404">
        <v>3</v>
      </c>
      <c r="C404" t="s">
        <v>3</v>
      </c>
      <c r="D404">
        <f>SUMIFS(
  fact_sales_monthly!$E:$E,
  fact_sales_monthly!$B:$B, A404,
  fact_sales_monthly!$C:$C, B404,
  fact_sales_monthly!$D:$D, C404
)</f>
        <v>0</v>
      </c>
      <c r="E404">
        <f t="shared" si="18"/>
        <v>0</v>
      </c>
      <c r="F404">
        <f t="shared" si="19"/>
        <v>0</v>
      </c>
      <c r="G404" t="str">
        <f t="shared" si="20"/>
        <v>2018-03</v>
      </c>
    </row>
    <row r="405" spans="1:7" x14ac:dyDescent="0.35">
      <c r="A405">
        <v>2018</v>
      </c>
      <c r="B405">
        <v>3</v>
      </c>
      <c r="C405" t="s">
        <v>4</v>
      </c>
      <c r="D405">
        <f>SUMIFS(
  fact_sales_monthly!$E:$E,
  fact_sales_monthly!$B:$B, A405,
  fact_sales_monthly!$C:$C, B405,
  fact_sales_monthly!$D:$D, C405
)</f>
        <v>0</v>
      </c>
      <c r="E405">
        <f t="shared" si="18"/>
        <v>0</v>
      </c>
      <c r="F405">
        <f t="shared" si="19"/>
        <v>0</v>
      </c>
      <c r="G405" t="str">
        <f t="shared" si="20"/>
        <v>2018-03</v>
      </c>
    </row>
    <row r="406" spans="1:7" x14ac:dyDescent="0.35">
      <c r="A406">
        <v>2018</v>
      </c>
      <c r="B406">
        <v>3</v>
      </c>
      <c r="C406" t="s">
        <v>5</v>
      </c>
      <c r="D406">
        <f>SUMIFS(
  fact_sales_monthly!$E:$E,
  fact_sales_monthly!$B:$B, A406,
  fact_sales_monthly!$C:$C, B406,
  fact_sales_monthly!$D:$D, C406
)</f>
        <v>381</v>
      </c>
      <c r="E406">
        <f t="shared" si="18"/>
        <v>381</v>
      </c>
      <c r="F406">
        <f t="shared" si="19"/>
        <v>95.25</v>
      </c>
      <c r="G406" t="str">
        <f t="shared" si="20"/>
        <v>2018-03</v>
      </c>
    </row>
    <row r="407" spans="1:7" x14ac:dyDescent="0.35">
      <c r="A407">
        <v>2018</v>
      </c>
      <c r="B407">
        <v>3</v>
      </c>
      <c r="C407" t="s">
        <v>6</v>
      </c>
      <c r="D407">
        <f>SUMIFS(
  fact_sales_monthly!$E:$E,
  fact_sales_monthly!$B:$B, A407,
  fact_sales_monthly!$C:$C, B407,
  fact_sales_monthly!$D:$D, C407
)</f>
        <v>42</v>
      </c>
      <c r="E407">
        <f t="shared" si="18"/>
        <v>42</v>
      </c>
      <c r="F407">
        <f t="shared" si="19"/>
        <v>10.5</v>
      </c>
      <c r="G407" t="str">
        <f t="shared" si="20"/>
        <v>2018-03</v>
      </c>
    </row>
    <row r="408" spans="1:7" x14ac:dyDescent="0.35">
      <c r="A408">
        <v>2018</v>
      </c>
      <c r="B408">
        <v>3</v>
      </c>
      <c r="C408" t="s">
        <v>7</v>
      </c>
      <c r="D408">
        <f>SUMIFS(
  fact_sales_monthly!$E:$E,
  fact_sales_monthly!$B:$B, A408,
  fact_sales_monthly!$C:$C, B408,
  fact_sales_monthly!$D:$D, C408
)</f>
        <v>269</v>
      </c>
      <c r="E408">
        <f t="shared" si="18"/>
        <v>269</v>
      </c>
      <c r="F408">
        <f t="shared" si="19"/>
        <v>67.25</v>
      </c>
      <c r="G408" t="str">
        <f t="shared" si="20"/>
        <v>2018-03</v>
      </c>
    </row>
    <row r="409" spans="1:7" x14ac:dyDescent="0.35">
      <c r="A409">
        <v>2018</v>
      </c>
      <c r="B409">
        <v>3</v>
      </c>
      <c r="C409" t="s">
        <v>8</v>
      </c>
      <c r="D409">
        <f>SUMIFS(
  fact_sales_monthly!$E:$E,
  fact_sales_monthly!$B:$B, A409,
  fact_sales_monthly!$C:$C, B409,
  fact_sales_monthly!$D:$D, C409
)</f>
        <v>85.5</v>
      </c>
      <c r="E409">
        <f t="shared" si="18"/>
        <v>85.5</v>
      </c>
      <c r="F409">
        <f t="shared" si="19"/>
        <v>21.375</v>
      </c>
      <c r="G409" t="str">
        <f t="shared" si="20"/>
        <v>2018-03</v>
      </c>
    </row>
    <row r="410" spans="1:7" x14ac:dyDescent="0.35">
      <c r="A410">
        <v>2018</v>
      </c>
      <c r="B410">
        <v>4</v>
      </c>
      <c r="C410" t="s">
        <v>1</v>
      </c>
      <c r="D410">
        <f>SUMIFS(
  fact_sales_monthly!$E:$E,
  fact_sales_monthly!$B:$B, A410,
  fact_sales_monthly!$C:$C, B410,
  fact_sales_monthly!$D:$D, C410
)</f>
        <v>0</v>
      </c>
      <c r="E410">
        <f t="shared" si="18"/>
        <v>0</v>
      </c>
      <c r="F410">
        <f t="shared" si="19"/>
        <v>0</v>
      </c>
      <c r="G410" t="str">
        <f t="shared" si="20"/>
        <v>2018-04</v>
      </c>
    </row>
    <row r="411" spans="1:7" x14ac:dyDescent="0.35">
      <c r="A411">
        <v>2018</v>
      </c>
      <c r="B411">
        <v>4</v>
      </c>
      <c r="C411" t="s">
        <v>2</v>
      </c>
      <c r="D411">
        <f>SUMIFS(
  fact_sales_monthly!$E:$E,
  fact_sales_monthly!$B:$B, A411,
  fact_sales_monthly!$C:$C, B411,
  fact_sales_monthly!$D:$D, C411
)</f>
        <v>0</v>
      </c>
      <c r="E411">
        <f t="shared" si="18"/>
        <v>0</v>
      </c>
      <c r="F411">
        <f t="shared" si="19"/>
        <v>0</v>
      </c>
      <c r="G411" t="str">
        <f t="shared" si="20"/>
        <v>2018-04</v>
      </c>
    </row>
    <row r="412" spans="1:7" x14ac:dyDescent="0.35">
      <c r="A412">
        <v>2018</v>
      </c>
      <c r="B412">
        <v>4</v>
      </c>
      <c r="C412" t="s">
        <v>3</v>
      </c>
      <c r="D412">
        <f>SUMIFS(
  fact_sales_monthly!$E:$E,
  fact_sales_monthly!$B:$B, A412,
  fact_sales_monthly!$C:$C, B412,
  fact_sales_monthly!$D:$D, C412
)</f>
        <v>0</v>
      </c>
      <c r="E412">
        <f t="shared" si="18"/>
        <v>0</v>
      </c>
      <c r="F412">
        <f t="shared" si="19"/>
        <v>0</v>
      </c>
      <c r="G412" t="str">
        <f t="shared" si="20"/>
        <v>2018-04</v>
      </c>
    </row>
    <row r="413" spans="1:7" x14ac:dyDescent="0.35">
      <c r="A413">
        <v>2018</v>
      </c>
      <c r="B413">
        <v>4</v>
      </c>
      <c r="C413" t="s">
        <v>4</v>
      </c>
      <c r="D413">
        <f>SUMIFS(
  fact_sales_monthly!$E:$E,
  fact_sales_monthly!$B:$B, A413,
  fact_sales_monthly!$C:$C, B413,
  fact_sales_monthly!$D:$D, C413
)</f>
        <v>0</v>
      </c>
      <c r="E413">
        <f t="shared" si="18"/>
        <v>0</v>
      </c>
      <c r="F413">
        <f t="shared" si="19"/>
        <v>0</v>
      </c>
      <c r="G413" t="str">
        <f t="shared" si="20"/>
        <v>2018-04</v>
      </c>
    </row>
    <row r="414" spans="1:7" x14ac:dyDescent="0.35">
      <c r="A414">
        <v>2018</v>
      </c>
      <c r="B414">
        <v>4</v>
      </c>
      <c r="C414" t="s">
        <v>5</v>
      </c>
      <c r="D414">
        <f>SUMIFS(
  fact_sales_monthly!$E:$E,
  fact_sales_monthly!$B:$B, A414,
  fact_sales_monthly!$C:$C, B414,
  fact_sales_monthly!$D:$D, C414
)</f>
        <v>289</v>
      </c>
      <c r="E414">
        <f t="shared" si="18"/>
        <v>289</v>
      </c>
      <c r="F414">
        <f t="shared" si="19"/>
        <v>72.25</v>
      </c>
      <c r="G414" t="str">
        <f t="shared" si="20"/>
        <v>2018-04</v>
      </c>
    </row>
    <row r="415" spans="1:7" x14ac:dyDescent="0.35">
      <c r="A415">
        <v>2018</v>
      </c>
      <c r="B415">
        <v>4</v>
      </c>
      <c r="C415" t="s">
        <v>6</v>
      </c>
      <c r="D415">
        <f>SUMIFS(
  fact_sales_monthly!$E:$E,
  fact_sales_monthly!$B:$B, A415,
  fact_sales_monthly!$C:$C, B415,
  fact_sales_monthly!$D:$D, C415
)</f>
        <v>21</v>
      </c>
      <c r="E415">
        <f t="shared" si="18"/>
        <v>21</v>
      </c>
      <c r="F415">
        <f t="shared" si="19"/>
        <v>5.25</v>
      </c>
      <c r="G415" t="str">
        <f t="shared" si="20"/>
        <v>2018-04</v>
      </c>
    </row>
    <row r="416" spans="1:7" x14ac:dyDescent="0.35">
      <c r="A416">
        <v>2018</v>
      </c>
      <c r="B416">
        <v>4</v>
      </c>
      <c r="C416" t="s">
        <v>7</v>
      </c>
      <c r="D416">
        <f>SUMIFS(
  fact_sales_monthly!$E:$E,
  fact_sales_monthly!$B:$B, A416,
  fact_sales_monthly!$C:$C, B416,
  fact_sales_monthly!$D:$D, C416
)</f>
        <v>229</v>
      </c>
      <c r="E416">
        <f t="shared" si="18"/>
        <v>229</v>
      </c>
      <c r="F416">
        <f t="shared" si="19"/>
        <v>57.25</v>
      </c>
      <c r="G416" t="str">
        <f t="shared" si="20"/>
        <v>2018-04</v>
      </c>
    </row>
    <row r="417" spans="1:7" x14ac:dyDescent="0.35">
      <c r="A417">
        <v>2018</v>
      </c>
      <c r="B417">
        <v>4</v>
      </c>
      <c r="C417" t="s">
        <v>8</v>
      </c>
      <c r="D417">
        <f>SUMIFS(
  fact_sales_monthly!$E:$E,
  fact_sales_monthly!$B:$B, A417,
  fact_sales_monthly!$C:$C, B417,
  fact_sales_monthly!$D:$D, C417
)</f>
        <v>197.1</v>
      </c>
      <c r="E417">
        <f t="shared" si="18"/>
        <v>197.1</v>
      </c>
      <c r="F417">
        <f t="shared" si="19"/>
        <v>49.274999999999999</v>
      </c>
      <c r="G417" t="str">
        <f t="shared" si="20"/>
        <v>2018-04</v>
      </c>
    </row>
    <row r="418" spans="1:7" x14ac:dyDescent="0.35">
      <c r="A418">
        <v>2018</v>
      </c>
      <c r="B418">
        <v>5</v>
      </c>
      <c r="C418" t="s">
        <v>1</v>
      </c>
      <c r="D418">
        <f>SUMIFS(
  fact_sales_monthly!$E:$E,
  fact_sales_monthly!$B:$B, A418,
  fact_sales_monthly!$C:$C, B418,
  fact_sales_monthly!$D:$D, C418
)</f>
        <v>0</v>
      </c>
      <c r="E418">
        <f t="shared" si="18"/>
        <v>0</v>
      </c>
      <c r="F418">
        <f t="shared" si="19"/>
        <v>0</v>
      </c>
      <c r="G418" t="str">
        <f t="shared" si="20"/>
        <v>2018-05</v>
      </c>
    </row>
    <row r="419" spans="1:7" x14ac:dyDescent="0.35">
      <c r="A419">
        <v>2018</v>
      </c>
      <c r="B419">
        <v>5</v>
      </c>
      <c r="C419" t="s">
        <v>2</v>
      </c>
      <c r="D419">
        <f>SUMIFS(
  fact_sales_monthly!$E:$E,
  fact_sales_monthly!$B:$B, A419,
  fact_sales_monthly!$C:$C, B419,
  fact_sales_monthly!$D:$D, C419
)</f>
        <v>0</v>
      </c>
      <c r="E419">
        <f t="shared" si="18"/>
        <v>0</v>
      </c>
      <c r="F419">
        <f t="shared" si="19"/>
        <v>0</v>
      </c>
      <c r="G419" t="str">
        <f t="shared" si="20"/>
        <v>2018-05</v>
      </c>
    </row>
    <row r="420" spans="1:7" x14ac:dyDescent="0.35">
      <c r="A420">
        <v>2018</v>
      </c>
      <c r="B420">
        <v>5</v>
      </c>
      <c r="C420" t="s">
        <v>3</v>
      </c>
      <c r="D420">
        <f>SUMIFS(
  fact_sales_monthly!$E:$E,
  fact_sales_monthly!$B:$B, A420,
  fact_sales_monthly!$C:$C, B420,
  fact_sales_monthly!$D:$D, C420
)</f>
        <v>0</v>
      </c>
      <c r="E420">
        <f t="shared" si="18"/>
        <v>0</v>
      </c>
      <c r="F420">
        <f t="shared" si="19"/>
        <v>0</v>
      </c>
      <c r="G420" t="str">
        <f t="shared" si="20"/>
        <v>2018-05</v>
      </c>
    </row>
    <row r="421" spans="1:7" x14ac:dyDescent="0.35">
      <c r="A421">
        <v>2018</v>
      </c>
      <c r="B421">
        <v>5</v>
      </c>
      <c r="C421" t="s">
        <v>4</v>
      </c>
      <c r="D421">
        <f>SUMIFS(
  fact_sales_monthly!$E:$E,
  fact_sales_monthly!$B:$B, A421,
  fact_sales_monthly!$C:$C, B421,
  fact_sales_monthly!$D:$D, C421
)</f>
        <v>0</v>
      </c>
      <c r="E421">
        <f t="shared" si="18"/>
        <v>0</v>
      </c>
      <c r="F421">
        <f t="shared" si="19"/>
        <v>0</v>
      </c>
      <c r="G421" t="str">
        <f t="shared" si="20"/>
        <v>2018-05</v>
      </c>
    </row>
    <row r="422" spans="1:7" x14ac:dyDescent="0.35">
      <c r="A422">
        <v>2018</v>
      </c>
      <c r="B422">
        <v>5</v>
      </c>
      <c r="C422" t="s">
        <v>5</v>
      </c>
      <c r="D422">
        <f>SUMIFS(
  fact_sales_monthly!$E:$E,
  fact_sales_monthly!$B:$B, A422,
  fact_sales_monthly!$C:$C, B422,
  fact_sales_monthly!$D:$D, C422
)</f>
        <v>259</v>
      </c>
      <c r="E422">
        <f t="shared" si="18"/>
        <v>259</v>
      </c>
      <c r="F422">
        <f t="shared" si="19"/>
        <v>64.75</v>
      </c>
      <c r="G422" t="str">
        <f t="shared" si="20"/>
        <v>2018-05</v>
      </c>
    </row>
    <row r="423" spans="1:7" x14ac:dyDescent="0.35">
      <c r="A423">
        <v>2018</v>
      </c>
      <c r="B423">
        <v>5</v>
      </c>
      <c r="C423" t="s">
        <v>6</v>
      </c>
      <c r="D423">
        <f>SUMIFS(
  fact_sales_monthly!$E:$E,
  fact_sales_monthly!$B:$B, A423,
  fact_sales_monthly!$C:$C, B423,
  fact_sales_monthly!$D:$D, C423
)</f>
        <v>13</v>
      </c>
      <c r="E423">
        <f t="shared" si="18"/>
        <v>13</v>
      </c>
      <c r="F423">
        <f t="shared" si="19"/>
        <v>3.25</v>
      </c>
      <c r="G423" t="str">
        <f t="shared" si="20"/>
        <v>2018-05</v>
      </c>
    </row>
    <row r="424" spans="1:7" x14ac:dyDescent="0.35">
      <c r="A424">
        <v>2018</v>
      </c>
      <c r="B424">
        <v>5</v>
      </c>
      <c r="C424" t="s">
        <v>7</v>
      </c>
      <c r="D424">
        <f>SUMIFS(
  fact_sales_monthly!$E:$E,
  fact_sales_monthly!$B:$B, A424,
  fact_sales_monthly!$C:$C, B424,
  fact_sales_monthly!$D:$D, C424
)</f>
        <v>192</v>
      </c>
      <c r="E424">
        <f t="shared" si="18"/>
        <v>192</v>
      </c>
      <c r="F424">
        <f t="shared" si="19"/>
        <v>48</v>
      </c>
      <c r="G424" t="str">
        <f t="shared" si="20"/>
        <v>2018-05</v>
      </c>
    </row>
    <row r="425" spans="1:7" x14ac:dyDescent="0.35">
      <c r="A425">
        <v>2018</v>
      </c>
      <c r="B425">
        <v>5</v>
      </c>
      <c r="C425" t="s">
        <v>8</v>
      </c>
      <c r="D425">
        <f>SUMIFS(
  fact_sales_monthly!$E:$E,
  fact_sales_monthly!$B:$B, A425,
  fact_sales_monthly!$C:$C, B425,
  fact_sales_monthly!$D:$D, C425
)</f>
        <v>0</v>
      </c>
      <c r="E425">
        <f t="shared" si="18"/>
        <v>0</v>
      </c>
      <c r="F425">
        <f t="shared" si="19"/>
        <v>0</v>
      </c>
      <c r="G425" t="str">
        <f t="shared" si="20"/>
        <v>2018-05</v>
      </c>
    </row>
    <row r="426" spans="1:7" x14ac:dyDescent="0.35">
      <c r="A426">
        <v>2018</v>
      </c>
      <c r="B426">
        <v>6</v>
      </c>
      <c r="C426" t="s">
        <v>1</v>
      </c>
      <c r="D426">
        <f>SUMIFS(
  fact_sales_monthly!$E:$E,
  fact_sales_monthly!$B:$B, A426,
  fact_sales_monthly!$C:$C, B426,
  fact_sales_monthly!$D:$D, C426
)</f>
        <v>141.18</v>
      </c>
      <c r="E426">
        <f t="shared" si="18"/>
        <v>141.18</v>
      </c>
      <c r="F426">
        <f t="shared" si="19"/>
        <v>35.295000000000002</v>
      </c>
      <c r="G426" t="str">
        <f t="shared" si="20"/>
        <v>2018-06</v>
      </c>
    </row>
    <row r="427" spans="1:7" x14ac:dyDescent="0.35">
      <c r="A427">
        <v>2018</v>
      </c>
      <c r="B427">
        <v>6</v>
      </c>
      <c r="C427" t="s">
        <v>2</v>
      </c>
      <c r="D427">
        <f>SUMIFS(
  fact_sales_monthly!$E:$E,
  fact_sales_monthly!$B:$B, A427,
  fact_sales_monthly!$C:$C, B427,
  fact_sales_monthly!$D:$D, C427
)</f>
        <v>0</v>
      </c>
      <c r="E427">
        <f t="shared" si="18"/>
        <v>0</v>
      </c>
      <c r="F427">
        <f t="shared" si="19"/>
        <v>0</v>
      </c>
      <c r="G427" t="str">
        <f t="shared" si="20"/>
        <v>2018-06</v>
      </c>
    </row>
    <row r="428" spans="1:7" x14ac:dyDescent="0.35">
      <c r="A428">
        <v>2018</v>
      </c>
      <c r="B428">
        <v>6</v>
      </c>
      <c r="C428" t="s">
        <v>3</v>
      </c>
      <c r="D428">
        <f>SUMIFS(
  fact_sales_monthly!$E:$E,
  fact_sales_monthly!$B:$B, A428,
  fact_sales_monthly!$C:$C, B428,
  fact_sales_monthly!$D:$D, C428
)</f>
        <v>0</v>
      </c>
      <c r="E428">
        <f t="shared" si="18"/>
        <v>0</v>
      </c>
      <c r="F428">
        <f t="shared" si="19"/>
        <v>0</v>
      </c>
      <c r="G428" t="str">
        <f t="shared" si="20"/>
        <v>2018-06</v>
      </c>
    </row>
    <row r="429" spans="1:7" x14ac:dyDescent="0.35">
      <c r="A429">
        <v>2018</v>
      </c>
      <c r="B429">
        <v>6</v>
      </c>
      <c r="C429" t="s">
        <v>4</v>
      </c>
      <c r="D429">
        <f>SUMIFS(
  fact_sales_monthly!$E:$E,
  fact_sales_monthly!$B:$B, A429,
  fact_sales_monthly!$C:$C, B429,
  fact_sales_monthly!$D:$D, C429
)</f>
        <v>584.34299999999996</v>
      </c>
      <c r="E429">
        <f t="shared" si="18"/>
        <v>584.34299999999996</v>
      </c>
      <c r="F429">
        <f t="shared" si="19"/>
        <v>146.08574999999999</v>
      </c>
      <c r="G429" t="str">
        <f t="shared" si="20"/>
        <v>2018-06</v>
      </c>
    </row>
    <row r="430" spans="1:7" x14ac:dyDescent="0.35">
      <c r="A430">
        <v>2018</v>
      </c>
      <c r="B430">
        <v>6</v>
      </c>
      <c r="C430" t="s">
        <v>5</v>
      </c>
      <c r="D430">
        <f>SUMIFS(
  fact_sales_monthly!$E:$E,
  fact_sales_monthly!$B:$B, A430,
  fact_sales_monthly!$C:$C, B430,
  fact_sales_monthly!$D:$D, C430
)</f>
        <v>248</v>
      </c>
      <c r="E430">
        <f t="shared" si="18"/>
        <v>248</v>
      </c>
      <c r="F430">
        <f t="shared" si="19"/>
        <v>62</v>
      </c>
      <c r="G430" t="str">
        <f t="shared" si="20"/>
        <v>2018-06</v>
      </c>
    </row>
    <row r="431" spans="1:7" x14ac:dyDescent="0.35">
      <c r="A431">
        <v>2018</v>
      </c>
      <c r="B431">
        <v>6</v>
      </c>
      <c r="C431" t="s">
        <v>6</v>
      </c>
      <c r="D431">
        <f>SUMIFS(
  fact_sales_monthly!$E:$E,
  fact_sales_monthly!$B:$B, A431,
  fact_sales_monthly!$C:$C, B431,
  fact_sales_monthly!$D:$D, C431
)</f>
        <v>18</v>
      </c>
      <c r="E431">
        <f t="shared" si="18"/>
        <v>18</v>
      </c>
      <c r="F431">
        <f t="shared" si="19"/>
        <v>4.5</v>
      </c>
      <c r="G431" t="str">
        <f t="shared" si="20"/>
        <v>2018-06</v>
      </c>
    </row>
    <row r="432" spans="1:7" x14ac:dyDescent="0.35">
      <c r="A432">
        <v>2018</v>
      </c>
      <c r="B432">
        <v>6</v>
      </c>
      <c r="C432" t="s">
        <v>7</v>
      </c>
      <c r="D432">
        <f>SUMIFS(
  fact_sales_monthly!$E:$E,
  fact_sales_monthly!$B:$B, A432,
  fact_sales_monthly!$C:$C, B432,
  fact_sales_monthly!$D:$D, C432
)</f>
        <v>101</v>
      </c>
      <c r="E432">
        <f t="shared" si="18"/>
        <v>101</v>
      </c>
      <c r="F432">
        <f t="shared" si="19"/>
        <v>25.25</v>
      </c>
      <c r="G432" t="str">
        <f t="shared" si="20"/>
        <v>2018-06</v>
      </c>
    </row>
    <row r="433" spans="1:7" x14ac:dyDescent="0.35">
      <c r="A433">
        <v>2018</v>
      </c>
      <c r="B433">
        <v>6</v>
      </c>
      <c r="C433" t="s">
        <v>8</v>
      </c>
      <c r="D433">
        <f>SUMIFS(
  fact_sales_monthly!$E:$E,
  fact_sales_monthly!$B:$B, A433,
  fact_sales_monthly!$C:$C, B433,
  fact_sales_monthly!$D:$D, C433
)</f>
        <v>120.8</v>
      </c>
      <c r="E433">
        <f t="shared" si="18"/>
        <v>120.8</v>
      </c>
      <c r="F433">
        <f t="shared" si="19"/>
        <v>30.2</v>
      </c>
      <c r="G433" t="str">
        <f t="shared" si="20"/>
        <v>2018-06</v>
      </c>
    </row>
    <row r="434" spans="1:7" x14ac:dyDescent="0.35">
      <c r="A434">
        <v>2018</v>
      </c>
      <c r="B434">
        <v>7</v>
      </c>
      <c r="C434" t="s">
        <v>1</v>
      </c>
      <c r="D434">
        <f>SUMIFS(
  fact_sales_monthly!$E:$E,
  fact_sales_monthly!$B:$B, A434,
  fact_sales_monthly!$C:$C, B434,
  fact_sales_monthly!$D:$D, C434
)</f>
        <v>150.18</v>
      </c>
      <c r="E434">
        <f t="shared" si="18"/>
        <v>150.18</v>
      </c>
      <c r="F434">
        <f t="shared" si="19"/>
        <v>37.545000000000002</v>
      </c>
      <c r="G434" t="str">
        <f t="shared" si="20"/>
        <v>2018-07</v>
      </c>
    </row>
    <row r="435" spans="1:7" x14ac:dyDescent="0.35">
      <c r="A435">
        <v>2018</v>
      </c>
      <c r="B435">
        <v>7</v>
      </c>
      <c r="C435" t="s">
        <v>2</v>
      </c>
      <c r="D435">
        <f>SUMIFS(
  fact_sales_monthly!$E:$E,
  fact_sales_monthly!$B:$B, A435,
  fact_sales_monthly!$C:$C, B435,
  fact_sales_monthly!$D:$D, C435
)</f>
        <v>0</v>
      </c>
      <c r="E435">
        <f t="shared" si="18"/>
        <v>0</v>
      </c>
      <c r="F435">
        <f t="shared" si="19"/>
        <v>0</v>
      </c>
      <c r="G435" t="str">
        <f t="shared" si="20"/>
        <v>2018-07</v>
      </c>
    </row>
    <row r="436" spans="1:7" x14ac:dyDescent="0.35">
      <c r="A436">
        <v>2018</v>
      </c>
      <c r="B436">
        <v>7</v>
      </c>
      <c r="C436" t="s">
        <v>3</v>
      </c>
      <c r="D436">
        <f>SUMIFS(
  fact_sales_monthly!$E:$E,
  fact_sales_monthly!$B:$B, A436,
  fact_sales_monthly!$C:$C, B436,
  fact_sales_monthly!$D:$D, C436
)</f>
        <v>87.2</v>
      </c>
      <c r="E436">
        <f t="shared" si="18"/>
        <v>87.2</v>
      </c>
      <c r="F436">
        <f t="shared" si="19"/>
        <v>21.8</v>
      </c>
      <c r="G436" t="str">
        <f t="shared" si="20"/>
        <v>2018-07</v>
      </c>
    </row>
    <row r="437" spans="1:7" x14ac:dyDescent="0.35">
      <c r="A437">
        <v>2018</v>
      </c>
      <c r="B437">
        <v>7</v>
      </c>
      <c r="C437" t="s">
        <v>4</v>
      </c>
      <c r="D437">
        <f>SUMIFS(
  fact_sales_monthly!$E:$E,
  fact_sales_monthly!$B:$B, A437,
  fact_sales_monthly!$C:$C, B437,
  fact_sales_monthly!$D:$D, C437
)</f>
        <v>0</v>
      </c>
      <c r="E437">
        <f t="shared" si="18"/>
        <v>0</v>
      </c>
      <c r="F437">
        <f t="shared" si="19"/>
        <v>0</v>
      </c>
      <c r="G437" t="str">
        <f t="shared" si="20"/>
        <v>2018-07</v>
      </c>
    </row>
    <row r="438" spans="1:7" x14ac:dyDescent="0.35">
      <c r="A438">
        <v>2018</v>
      </c>
      <c r="B438">
        <v>7</v>
      </c>
      <c r="C438" t="s">
        <v>5</v>
      </c>
      <c r="D438">
        <f>SUMIFS(
  fact_sales_monthly!$E:$E,
  fact_sales_monthly!$B:$B, A438,
  fact_sales_monthly!$C:$C, B438,
  fact_sales_monthly!$D:$D, C438
)</f>
        <v>283</v>
      </c>
      <c r="E438">
        <f t="shared" si="18"/>
        <v>283</v>
      </c>
      <c r="F438">
        <f t="shared" si="19"/>
        <v>70.75</v>
      </c>
      <c r="G438" t="str">
        <f t="shared" si="20"/>
        <v>2018-07</v>
      </c>
    </row>
    <row r="439" spans="1:7" x14ac:dyDescent="0.35">
      <c r="A439">
        <v>2018</v>
      </c>
      <c r="B439">
        <v>7</v>
      </c>
      <c r="C439" t="s">
        <v>6</v>
      </c>
      <c r="D439">
        <f>SUMIFS(
  fact_sales_monthly!$E:$E,
  fact_sales_monthly!$B:$B, A439,
  fact_sales_monthly!$C:$C, B439,
  fact_sales_monthly!$D:$D, C439
)</f>
        <v>19</v>
      </c>
      <c r="E439">
        <f t="shared" si="18"/>
        <v>19</v>
      </c>
      <c r="F439">
        <f t="shared" si="19"/>
        <v>4.75</v>
      </c>
      <c r="G439" t="str">
        <f t="shared" si="20"/>
        <v>2018-07</v>
      </c>
    </row>
    <row r="440" spans="1:7" x14ac:dyDescent="0.35">
      <c r="A440">
        <v>2018</v>
      </c>
      <c r="B440">
        <v>7</v>
      </c>
      <c r="C440" t="s">
        <v>7</v>
      </c>
      <c r="D440">
        <f>SUMIFS(
  fact_sales_monthly!$E:$E,
  fact_sales_monthly!$B:$B, A440,
  fact_sales_monthly!$C:$C, B440,
  fact_sales_monthly!$D:$D, C440
)</f>
        <v>90</v>
      </c>
      <c r="E440">
        <f t="shared" si="18"/>
        <v>90</v>
      </c>
      <c r="F440">
        <f t="shared" si="19"/>
        <v>22.5</v>
      </c>
      <c r="G440" t="str">
        <f t="shared" si="20"/>
        <v>2018-07</v>
      </c>
    </row>
    <row r="441" spans="1:7" x14ac:dyDescent="0.35">
      <c r="A441">
        <v>2018</v>
      </c>
      <c r="B441">
        <v>7</v>
      </c>
      <c r="C441" t="s">
        <v>8</v>
      </c>
      <c r="D441">
        <f>SUMIFS(
  fact_sales_monthly!$E:$E,
  fact_sales_monthly!$B:$B, A441,
  fact_sales_monthly!$C:$C, B441,
  fact_sales_monthly!$D:$D, C441
)</f>
        <v>122.2</v>
      </c>
      <c r="E441">
        <f t="shared" si="18"/>
        <v>122.2</v>
      </c>
      <c r="F441">
        <f t="shared" si="19"/>
        <v>30.55</v>
      </c>
      <c r="G441" t="str">
        <f t="shared" si="20"/>
        <v>2018-07</v>
      </c>
    </row>
    <row r="442" spans="1:7" x14ac:dyDescent="0.35">
      <c r="A442">
        <v>2018</v>
      </c>
      <c r="B442">
        <v>8</v>
      </c>
      <c r="C442" t="s">
        <v>1</v>
      </c>
      <c r="D442">
        <f>SUMIFS(
  fact_sales_monthly!$E:$E,
  fact_sales_monthly!$B:$B, A442,
  fact_sales_monthly!$C:$C, B442,
  fact_sales_monthly!$D:$D, C442
)</f>
        <v>0</v>
      </c>
      <c r="E442">
        <f t="shared" si="18"/>
        <v>0</v>
      </c>
      <c r="F442">
        <f t="shared" si="19"/>
        <v>0</v>
      </c>
      <c r="G442" t="str">
        <f t="shared" si="20"/>
        <v>2018-08</v>
      </c>
    </row>
    <row r="443" spans="1:7" x14ac:dyDescent="0.35">
      <c r="A443">
        <v>2018</v>
      </c>
      <c r="B443">
        <v>8</v>
      </c>
      <c r="C443" t="s">
        <v>2</v>
      </c>
      <c r="D443">
        <f>SUMIFS(
  fact_sales_monthly!$E:$E,
  fact_sales_monthly!$B:$B, A443,
  fact_sales_monthly!$C:$C, B443,
  fact_sales_monthly!$D:$D, C443
)</f>
        <v>0</v>
      </c>
      <c r="E443">
        <f t="shared" si="18"/>
        <v>0</v>
      </c>
      <c r="F443">
        <f t="shared" si="19"/>
        <v>0</v>
      </c>
      <c r="G443" t="str">
        <f t="shared" si="20"/>
        <v>2018-08</v>
      </c>
    </row>
    <row r="444" spans="1:7" x14ac:dyDescent="0.35">
      <c r="A444">
        <v>2018</v>
      </c>
      <c r="B444">
        <v>8</v>
      </c>
      <c r="C444" t="s">
        <v>3</v>
      </c>
      <c r="D444">
        <f>SUMIFS(
  fact_sales_monthly!$E:$E,
  fact_sales_monthly!$B:$B, A444,
  fact_sales_monthly!$C:$C, B444,
  fact_sales_monthly!$D:$D, C444
)</f>
        <v>88.25</v>
      </c>
      <c r="E444">
        <f t="shared" si="18"/>
        <v>88.25</v>
      </c>
      <c r="F444">
        <f t="shared" si="19"/>
        <v>22.0625</v>
      </c>
      <c r="G444" t="str">
        <f t="shared" si="20"/>
        <v>2018-08</v>
      </c>
    </row>
    <row r="445" spans="1:7" x14ac:dyDescent="0.35">
      <c r="A445">
        <v>2018</v>
      </c>
      <c r="B445">
        <v>8</v>
      </c>
      <c r="C445" t="s">
        <v>4</v>
      </c>
      <c r="D445">
        <f>SUMIFS(
  fact_sales_monthly!$E:$E,
  fact_sales_monthly!$B:$B, A445,
  fact_sales_monthly!$C:$C, B445,
  fact_sales_monthly!$D:$D, C445
)</f>
        <v>733.83799999999997</v>
      </c>
      <c r="E445">
        <f t="shared" si="18"/>
        <v>733.83799999999997</v>
      </c>
      <c r="F445">
        <f t="shared" si="19"/>
        <v>183.45949999999999</v>
      </c>
      <c r="G445" t="str">
        <f t="shared" si="20"/>
        <v>2018-08</v>
      </c>
    </row>
    <row r="446" spans="1:7" x14ac:dyDescent="0.35">
      <c r="A446">
        <v>2018</v>
      </c>
      <c r="B446">
        <v>8</v>
      </c>
      <c r="C446" t="s">
        <v>5</v>
      </c>
      <c r="D446">
        <f>SUMIFS(
  fact_sales_monthly!$E:$E,
  fact_sales_monthly!$B:$B, A446,
  fact_sales_monthly!$C:$C, B446,
  fact_sales_monthly!$D:$D, C446
)</f>
        <v>253</v>
      </c>
      <c r="E446">
        <f t="shared" si="18"/>
        <v>253</v>
      </c>
      <c r="F446">
        <f t="shared" si="19"/>
        <v>63.25</v>
      </c>
      <c r="G446" t="str">
        <f t="shared" si="20"/>
        <v>2018-08</v>
      </c>
    </row>
    <row r="447" spans="1:7" x14ac:dyDescent="0.35">
      <c r="A447">
        <v>2018</v>
      </c>
      <c r="B447">
        <v>8</v>
      </c>
      <c r="C447" t="s">
        <v>6</v>
      </c>
      <c r="D447">
        <f>SUMIFS(
  fact_sales_monthly!$E:$E,
  fact_sales_monthly!$B:$B, A447,
  fact_sales_monthly!$C:$C, B447,
  fact_sales_monthly!$D:$D, C447
)</f>
        <v>20</v>
      </c>
      <c r="E447">
        <f t="shared" si="18"/>
        <v>20</v>
      </c>
      <c r="F447">
        <f t="shared" si="19"/>
        <v>5</v>
      </c>
      <c r="G447" t="str">
        <f t="shared" si="20"/>
        <v>2018-08</v>
      </c>
    </row>
    <row r="448" spans="1:7" x14ac:dyDescent="0.35">
      <c r="A448">
        <v>2018</v>
      </c>
      <c r="B448">
        <v>8</v>
      </c>
      <c r="C448" t="s">
        <v>7</v>
      </c>
      <c r="D448">
        <f>SUMIFS(
  fact_sales_monthly!$E:$E,
  fact_sales_monthly!$B:$B, A448,
  fact_sales_monthly!$C:$C, B448,
  fact_sales_monthly!$D:$D, C448
)</f>
        <v>159</v>
      </c>
      <c r="E448">
        <f t="shared" si="18"/>
        <v>159</v>
      </c>
      <c r="F448">
        <f t="shared" si="19"/>
        <v>39.75</v>
      </c>
      <c r="G448" t="str">
        <f t="shared" si="20"/>
        <v>2018-08</v>
      </c>
    </row>
    <row r="449" spans="1:7" x14ac:dyDescent="0.35">
      <c r="A449">
        <v>2018</v>
      </c>
      <c r="B449">
        <v>8</v>
      </c>
      <c r="C449" t="s">
        <v>8</v>
      </c>
      <c r="D449">
        <f>SUMIFS(
  fact_sales_monthly!$E:$E,
  fact_sales_monthly!$B:$B, A449,
  fact_sales_monthly!$C:$C, B449,
  fact_sales_monthly!$D:$D, C449
)</f>
        <v>103.1</v>
      </c>
      <c r="E449">
        <f t="shared" si="18"/>
        <v>103.1</v>
      </c>
      <c r="F449">
        <f t="shared" si="19"/>
        <v>25.774999999999999</v>
      </c>
      <c r="G449" t="str">
        <f t="shared" si="20"/>
        <v>2018-08</v>
      </c>
    </row>
    <row r="450" spans="1:7" x14ac:dyDescent="0.35">
      <c r="A450">
        <v>2018</v>
      </c>
      <c r="B450">
        <v>9</v>
      </c>
      <c r="C450" t="s">
        <v>1</v>
      </c>
      <c r="D450">
        <f>SUMIFS(
  fact_sales_monthly!$E:$E,
  fact_sales_monthly!$B:$B, A450,
  fact_sales_monthly!$C:$C, B450,
  fact_sales_monthly!$D:$D, C450
)</f>
        <v>153.52000000000001</v>
      </c>
      <c r="E450">
        <f t="shared" si="18"/>
        <v>153.52000000000001</v>
      </c>
      <c r="F450">
        <f t="shared" si="19"/>
        <v>38.380000000000003</v>
      </c>
      <c r="G450" t="str">
        <f t="shared" si="20"/>
        <v>2018-09</v>
      </c>
    </row>
    <row r="451" spans="1:7" x14ac:dyDescent="0.35">
      <c r="A451">
        <v>2018</v>
      </c>
      <c r="B451">
        <v>9</v>
      </c>
      <c r="C451" t="s">
        <v>2</v>
      </c>
      <c r="D451">
        <f>SUMIFS(
  fact_sales_monthly!$E:$E,
  fact_sales_monthly!$B:$B, A451,
  fact_sales_monthly!$C:$C, B451,
  fact_sales_monthly!$D:$D, C451
)</f>
        <v>0</v>
      </c>
      <c r="E451">
        <f t="shared" ref="E451:E514" si="21">D451 * 1</f>
        <v>0</v>
      </c>
      <c r="F451">
        <f t="shared" ref="F451:F514" si="22">D451 * 0.25</f>
        <v>0</v>
      </c>
      <c r="G451" t="str">
        <f t="shared" ref="G451:G514" si="23">TEXT(DATE(A451, B451, 1), "yyyy-mm")</f>
        <v>2018-09</v>
      </c>
    </row>
    <row r="452" spans="1:7" x14ac:dyDescent="0.35">
      <c r="A452">
        <v>2018</v>
      </c>
      <c r="B452">
        <v>9</v>
      </c>
      <c r="C452" t="s">
        <v>3</v>
      </c>
      <c r="D452">
        <f>SUMIFS(
  fact_sales_monthly!$E:$E,
  fact_sales_monthly!$B:$B, A452,
  fact_sales_monthly!$C:$C, B452,
  fact_sales_monthly!$D:$D, C452
)</f>
        <v>86.5</v>
      </c>
      <c r="E452">
        <f t="shared" si="21"/>
        <v>86.5</v>
      </c>
      <c r="F452">
        <f t="shared" si="22"/>
        <v>21.625</v>
      </c>
      <c r="G452" t="str">
        <f t="shared" si="23"/>
        <v>2018-09</v>
      </c>
    </row>
    <row r="453" spans="1:7" x14ac:dyDescent="0.35">
      <c r="A453">
        <v>2018</v>
      </c>
      <c r="B453">
        <v>9</v>
      </c>
      <c r="C453" t="s">
        <v>4</v>
      </c>
      <c r="D453">
        <f>SUMIFS(
  fact_sales_monthly!$E:$E,
  fact_sales_monthly!$B:$B, A453,
  fact_sales_monthly!$C:$C, B453,
  fact_sales_monthly!$D:$D, C453
)</f>
        <v>0</v>
      </c>
      <c r="E453">
        <f t="shared" si="21"/>
        <v>0</v>
      </c>
      <c r="F453">
        <f t="shared" si="22"/>
        <v>0</v>
      </c>
      <c r="G453" t="str">
        <f t="shared" si="23"/>
        <v>2018-09</v>
      </c>
    </row>
    <row r="454" spans="1:7" x14ac:dyDescent="0.35">
      <c r="A454">
        <v>2018</v>
      </c>
      <c r="B454">
        <v>9</v>
      </c>
      <c r="C454" t="s">
        <v>5</v>
      </c>
      <c r="D454">
        <f>SUMIFS(
  fact_sales_monthly!$E:$E,
  fact_sales_monthly!$B:$B, A454,
  fact_sales_monthly!$C:$C, B454,
  fact_sales_monthly!$D:$D, C454
)</f>
        <v>263</v>
      </c>
      <c r="E454">
        <f t="shared" si="21"/>
        <v>263</v>
      </c>
      <c r="F454">
        <f t="shared" si="22"/>
        <v>65.75</v>
      </c>
      <c r="G454" t="str">
        <f t="shared" si="23"/>
        <v>2018-09</v>
      </c>
    </row>
    <row r="455" spans="1:7" x14ac:dyDescent="0.35">
      <c r="A455">
        <v>2018</v>
      </c>
      <c r="B455">
        <v>9</v>
      </c>
      <c r="C455" t="s">
        <v>6</v>
      </c>
      <c r="D455">
        <f>SUMIFS(
  fact_sales_monthly!$E:$E,
  fact_sales_monthly!$B:$B, A455,
  fact_sales_monthly!$C:$C, B455,
  fact_sales_monthly!$D:$D, C455
)</f>
        <v>12</v>
      </c>
      <c r="E455">
        <f t="shared" si="21"/>
        <v>12</v>
      </c>
      <c r="F455">
        <f t="shared" si="22"/>
        <v>3</v>
      </c>
      <c r="G455" t="str">
        <f t="shared" si="23"/>
        <v>2018-09</v>
      </c>
    </row>
    <row r="456" spans="1:7" x14ac:dyDescent="0.35">
      <c r="A456">
        <v>2018</v>
      </c>
      <c r="B456">
        <v>9</v>
      </c>
      <c r="C456" t="s">
        <v>7</v>
      </c>
      <c r="D456">
        <f>SUMIFS(
  fact_sales_monthly!$E:$E,
  fact_sales_monthly!$B:$B, A456,
  fact_sales_monthly!$C:$C, B456,
  fact_sales_monthly!$D:$D, C456
)</f>
        <v>205</v>
      </c>
      <c r="E456">
        <f t="shared" si="21"/>
        <v>205</v>
      </c>
      <c r="F456">
        <f t="shared" si="22"/>
        <v>51.25</v>
      </c>
      <c r="G456" t="str">
        <f t="shared" si="23"/>
        <v>2018-09</v>
      </c>
    </row>
    <row r="457" spans="1:7" x14ac:dyDescent="0.35">
      <c r="A457">
        <v>2018</v>
      </c>
      <c r="B457">
        <v>9</v>
      </c>
      <c r="C457" t="s">
        <v>8</v>
      </c>
      <c r="D457">
        <f>SUMIFS(
  fact_sales_monthly!$E:$E,
  fact_sales_monthly!$B:$B, A457,
  fact_sales_monthly!$C:$C, B457,
  fact_sales_monthly!$D:$D, C457
)</f>
        <v>0</v>
      </c>
      <c r="E457">
        <f t="shared" si="21"/>
        <v>0</v>
      </c>
      <c r="F457">
        <f t="shared" si="22"/>
        <v>0</v>
      </c>
      <c r="G457" t="str">
        <f t="shared" si="23"/>
        <v>2018-09</v>
      </c>
    </row>
    <row r="458" spans="1:7" x14ac:dyDescent="0.35">
      <c r="A458">
        <v>2018</v>
      </c>
      <c r="B458">
        <v>10</v>
      </c>
      <c r="C458" t="s">
        <v>1</v>
      </c>
      <c r="D458">
        <f>SUMIFS(
  fact_sales_monthly!$E:$E,
  fact_sales_monthly!$B:$B, A458,
  fact_sales_monthly!$C:$C, B458,
  fact_sales_monthly!$D:$D, C458
)</f>
        <v>0</v>
      </c>
      <c r="E458">
        <f t="shared" si="21"/>
        <v>0</v>
      </c>
      <c r="F458">
        <f t="shared" si="22"/>
        <v>0</v>
      </c>
      <c r="G458" t="str">
        <f t="shared" si="23"/>
        <v>2018-10</v>
      </c>
    </row>
    <row r="459" spans="1:7" x14ac:dyDescent="0.35">
      <c r="A459">
        <v>2018</v>
      </c>
      <c r="B459">
        <v>10</v>
      </c>
      <c r="C459" t="s">
        <v>2</v>
      </c>
      <c r="D459">
        <f>SUMIFS(
  fact_sales_monthly!$E:$E,
  fact_sales_monthly!$B:$B, A459,
  fact_sales_monthly!$C:$C, B459,
  fact_sales_monthly!$D:$D, C459
)</f>
        <v>0</v>
      </c>
      <c r="E459">
        <f t="shared" si="21"/>
        <v>0</v>
      </c>
      <c r="F459">
        <f t="shared" si="22"/>
        <v>0</v>
      </c>
      <c r="G459" t="str">
        <f t="shared" si="23"/>
        <v>2018-10</v>
      </c>
    </row>
    <row r="460" spans="1:7" x14ac:dyDescent="0.35">
      <c r="A460">
        <v>2018</v>
      </c>
      <c r="B460">
        <v>10</v>
      </c>
      <c r="C460" t="s">
        <v>3</v>
      </c>
      <c r="D460">
        <f>SUMIFS(
  fact_sales_monthly!$E:$E,
  fact_sales_monthly!$B:$B, A460,
  fact_sales_monthly!$C:$C, B460,
  fact_sales_monthly!$D:$D, C460
)</f>
        <v>0</v>
      </c>
      <c r="E460">
        <f t="shared" si="21"/>
        <v>0</v>
      </c>
      <c r="F460">
        <f t="shared" si="22"/>
        <v>0</v>
      </c>
      <c r="G460" t="str">
        <f t="shared" si="23"/>
        <v>2018-10</v>
      </c>
    </row>
    <row r="461" spans="1:7" x14ac:dyDescent="0.35">
      <c r="A461">
        <v>2018</v>
      </c>
      <c r="B461">
        <v>10</v>
      </c>
      <c r="C461" t="s">
        <v>4</v>
      </c>
      <c r="D461">
        <f>SUMIFS(
  fact_sales_monthly!$E:$E,
  fact_sales_monthly!$B:$B, A461,
  fact_sales_monthly!$C:$C, B461,
  fact_sales_monthly!$D:$D, C461
)</f>
        <v>0</v>
      </c>
      <c r="E461">
        <f t="shared" si="21"/>
        <v>0</v>
      </c>
      <c r="F461">
        <f t="shared" si="22"/>
        <v>0</v>
      </c>
      <c r="G461" t="str">
        <f t="shared" si="23"/>
        <v>2018-10</v>
      </c>
    </row>
    <row r="462" spans="1:7" x14ac:dyDescent="0.35">
      <c r="A462">
        <v>2018</v>
      </c>
      <c r="B462">
        <v>10</v>
      </c>
      <c r="C462" t="s">
        <v>5</v>
      </c>
      <c r="D462">
        <f>SUMIFS(
  fact_sales_monthly!$E:$E,
  fact_sales_monthly!$B:$B, A462,
  fact_sales_monthly!$C:$C, B462,
  fact_sales_monthly!$D:$D, C462
)</f>
        <v>287</v>
      </c>
      <c r="E462">
        <f t="shared" si="21"/>
        <v>287</v>
      </c>
      <c r="F462">
        <f t="shared" si="22"/>
        <v>71.75</v>
      </c>
      <c r="G462" t="str">
        <f t="shared" si="23"/>
        <v>2018-10</v>
      </c>
    </row>
    <row r="463" spans="1:7" x14ac:dyDescent="0.35">
      <c r="A463">
        <v>2018</v>
      </c>
      <c r="B463">
        <v>10</v>
      </c>
      <c r="C463" t="s">
        <v>6</v>
      </c>
      <c r="D463">
        <f>SUMIFS(
  fact_sales_monthly!$E:$E,
  fact_sales_monthly!$B:$B, A463,
  fact_sales_monthly!$C:$C, B463,
  fact_sales_monthly!$D:$D, C463
)</f>
        <v>25</v>
      </c>
      <c r="E463">
        <f t="shared" si="21"/>
        <v>25</v>
      </c>
      <c r="F463">
        <f t="shared" si="22"/>
        <v>6.25</v>
      </c>
      <c r="G463" t="str">
        <f t="shared" si="23"/>
        <v>2018-10</v>
      </c>
    </row>
    <row r="464" spans="1:7" x14ac:dyDescent="0.35">
      <c r="A464">
        <v>2018</v>
      </c>
      <c r="B464">
        <v>10</v>
      </c>
      <c r="C464" t="s">
        <v>7</v>
      </c>
      <c r="D464">
        <f>SUMIFS(
  fact_sales_monthly!$E:$E,
  fact_sales_monthly!$B:$B, A464,
  fact_sales_monthly!$C:$C, B464,
  fact_sales_monthly!$D:$D, C464
)</f>
        <v>353</v>
      </c>
      <c r="E464">
        <f t="shared" si="21"/>
        <v>353</v>
      </c>
      <c r="F464">
        <f t="shared" si="22"/>
        <v>88.25</v>
      </c>
      <c r="G464" t="str">
        <f t="shared" si="23"/>
        <v>2018-10</v>
      </c>
    </row>
    <row r="465" spans="1:7" x14ac:dyDescent="0.35">
      <c r="A465">
        <v>2018</v>
      </c>
      <c r="B465">
        <v>10</v>
      </c>
      <c r="C465" t="s">
        <v>8</v>
      </c>
      <c r="D465">
        <f>SUMIFS(
  fact_sales_monthly!$E:$E,
  fact_sales_monthly!$B:$B, A465,
  fact_sales_monthly!$C:$C, B465,
  fact_sales_monthly!$D:$D, C465
)</f>
        <v>76.900000000000006</v>
      </c>
      <c r="E465">
        <f t="shared" si="21"/>
        <v>76.900000000000006</v>
      </c>
      <c r="F465">
        <f t="shared" si="22"/>
        <v>19.225000000000001</v>
      </c>
      <c r="G465" t="str">
        <f t="shared" si="23"/>
        <v>2018-10</v>
      </c>
    </row>
    <row r="466" spans="1:7" x14ac:dyDescent="0.35">
      <c r="A466">
        <v>2018</v>
      </c>
      <c r="B466">
        <v>11</v>
      </c>
      <c r="C466" t="s">
        <v>1</v>
      </c>
      <c r="D466">
        <f>SUMIFS(
  fact_sales_monthly!$E:$E,
  fact_sales_monthly!$B:$B, A466,
  fact_sales_monthly!$C:$C, B466,
  fact_sales_monthly!$D:$D, C466
)</f>
        <v>0</v>
      </c>
      <c r="E466">
        <f t="shared" si="21"/>
        <v>0</v>
      </c>
      <c r="F466">
        <f t="shared" si="22"/>
        <v>0</v>
      </c>
      <c r="G466" t="str">
        <f t="shared" si="23"/>
        <v>2018-11</v>
      </c>
    </row>
    <row r="467" spans="1:7" x14ac:dyDescent="0.35">
      <c r="A467">
        <v>2018</v>
      </c>
      <c r="B467">
        <v>11</v>
      </c>
      <c r="C467" t="s">
        <v>2</v>
      </c>
      <c r="D467">
        <f>SUMIFS(
  fact_sales_monthly!$E:$E,
  fact_sales_monthly!$B:$B, A467,
  fact_sales_monthly!$C:$C, B467,
  fact_sales_monthly!$D:$D, C467
)</f>
        <v>0</v>
      </c>
      <c r="E467">
        <f t="shared" si="21"/>
        <v>0</v>
      </c>
      <c r="F467">
        <f t="shared" si="22"/>
        <v>0</v>
      </c>
      <c r="G467" t="str">
        <f t="shared" si="23"/>
        <v>2018-11</v>
      </c>
    </row>
    <row r="468" spans="1:7" x14ac:dyDescent="0.35">
      <c r="A468">
        <v>2018</v>
      </c>
      <c r="B468">
        <v>11</v>
      </c>
      <c r="C468" t="s">
        <v>3</v>
      </c>
      <c r="D468">
        <f>SUMIFS(
  fact_sales_monthly!$E:$E,
  fact_sales_monthly!$B:$B, A468,
  fact_sales_monthly!$C:$C, B468,
  fact_sales_monthly!$D:$D, C468
)</f>
        <v>0</v>
      </c>
      <c r="E468">
        <f t="shared" si="21"/>
        <v>0</v>
      </c>
      <c r="F468">
        <f t="shared" si="22"/>
        <v>0</v>
      </c>
      <c r="G468" t="str">
        <f t="shared" si="23"/>
        <v>2018-11</v>
      </c>
    </row>
    <row r="469" spans="1:7" x14ac:dyDescent="0.35">
      <c r="A469">
        <v>2018</v>
      </c>
      <c r="B469">
        <v>11</v>
      </c>
      <c r="C469" t="s">
        <v>4</v>
      </c>
      <c r="D469">
        <f>SUMIFS(
  fact_sales_monthly!$E:$E,
  fact_sales_monthly!$B:$B, A469,
  fact_sales_monthly!$C:$C, B469,
  fact_sales_monthly!$D:$D, C469
)</f>
        <v>995.15</v>
      </c>
      <c r="E469">
        <f t="shared" si="21"/>
        <v>995.15</v>
      </c>
      <c r="F469">
        <f t="shared" si="22"/>
        <v>248.78749999999999</v>
      </c>
      <c r="G469" t="str">
        <f t="shared" si="23"/>
        <v>2018-11</v>
      </c>
    </row>
    <row r="470" spans="1:7" x14ac:dyDescent="0.35">
      <c r="A470">
        <v>2018</v>
      </c>
      <c r="B470">
        <v>11</v>
      </c>
      <c r="C470" t="s">
        <v>5</v>
      </c>
      <c r="D470">
        <f>SUMIFS(
  fact_sales_monthly!$E:$E,
  fact_sales_monthly!$B:$B, A470,
  fact_sales_monthly!$C:$C, B470,
  fact_sales_monthly!$D:$D, C470
)</f>
        <v>252.2</v>
      </c>
      <c r="E470">
        <f t="shared" si="21"/>
        <v>252.2</v>
      </c>
      <c r="F470">
        <f t="shared" si="22"/>
        <v>63.05</v>
      </c>
      <c r="G470" t="str">
        <f t="shared" si="23"/>
        <v>2018-11</v>
      </c>
    </row>
    <row r="471" spans="1:7" x14ac:dyDescent="0.35">
      <c r="A471">
        <v>2018</v>
      </c>
      <c r="B471">
        <v>11</v>
      </c>
      <c r="C471" t="s">
        <v>6</v>
      </c>
      <c r="D471">
        <f>SUMIFS(
  fact_sales_monthly!$E:$E,
  fact_sales_monthly!$B:$B, A471,
  fact_sales_monthly!$C:$C, B471,
  fact_sales_monthly!$D:$D, C471
)</f>
        <v>22</v>
      </c>
      <c r="E471">
        <f t="shared" si="21"/>
        <v>22</v>
      </c>
      <c r="F471">
        <f t="shared" si="22"/>
        <v>5.5</v>
      </c>
      <c r="G471" t="str">
        <f t="shared" si="23"/>
        <v>2018-11</v>
      </c>
    </row>
    <row r="472" spans="1:7" x14ac:dyDescent="0.35">
      <c r="A472">
        <v>2018</v>
      </c>
      <c r="B472">
        <v>11</v>
      </c>
      <c r="C472" t="s">
        <v>7</v>
      </c>
      <c r="D472">
        <f>SUMIFS(
  fact_sales_monthly!$E:$E,
  fact_sales_monthly!$B:$B, A472,
  fact_sales_monthly!$C:$C, B472,
  fact_sales_monthly!$D:$D, C472
)</f>
        <v>311</v>
      </c>
      <c r="E472">
        <f t="shared" si="21"/>
        <v>311</v>
      </c>
      <c r="F472">
        <f t="shared" si="22"/>
        <v>77.75</v>
      </c>
      <c r="G472" t="str">
        <f t="shared" si="23"/>
        <v>2018-11</v>
      </c>
    </row>
    <row r="473" spans="1:7" x14ac:dyDescent="0.35">
      <c r="A473">
        <v>2018</v>
      </c>
      <c r="B473">
        <v>11</v>
      </c>
      <c r="C473" t="s">
        <v>8</v>
      </c>
      <c r="D473">
        <f>SUMIFS(
  fact_sales_monthly!$E:$E,
  fact_sales_monthly!$B:$B, A473,
  fact_sales_monthly!$C:$C, B473,
  fact_sales_monthly!$D:$D, C473
)</f>
        <v>0</v>
      </c>
      <c r="E473">
        <f t="shared" si="21"/>
        <v>0</v>
      </c>
      <c r="F473">
        <f t="shared" si="22"/>
        <v>0</v>
      </c>
      <c r="G473" t="str">
        <f t="shared" si="23"/>
        <v>2018-11</v>
      </c>
    </row>
    <row r="474" spans="1:7" x14ac:dyDescent="0.35">
      <c r="A474">
        <v>2018</v>
      </c>
      <c r="B474">
        <v>12</v>
      </c>
      <c r="C474" t="s">
        <v>1</v>
      </c>
      <c r="D474">
        <f>SUMIFS(
  fact_sales_monthly!$E:$E,
  fact_sales_monthly!$B:$B, A474,
  fact_sales_monthly!$C:$C, B474,
  fact_sales_monthly!$D:$D, C474
)</f>
        <v>0</v>
      </c>
      <c r="E474">
        <f t="shared" si="21"/>
        <v>0</v>
      </c>
      <c r="F474">
        <f t="shared" si="22"/>
        <v>0</v>
      </c>
      <c r="G474" t="str">
        <f t="shared" si="23"/>
        <v>2018-12</v>
      </c>
    </row>
    <row r="475" spans="1:7" x14ac:dyDescent="0.35">
      <c r="A475">
        <v>2018</v>
      </c>
      <c r="B475">
        <v>12</v>
      </c>
      <c r="C475" t="s">
        <v>2</v>
      </c>
      <c r="D475">
        <f>SUMIFS(
  fact_sales_monthly!$E:$E,
  fact_sales_monthly!$B:$B, A475,
  fact_sales_monthly!$C:$C, B475,
  fact_sales_monthly!$D:$D, C475
)</f>
        <v>0</v>
      </c>
      <c r="E475">
        <f t="shared" si="21"/>
        <v>0</v>
      </c>
      <c r="F475">
        <f t="shared" si="22"/>
        <v>0</v>
      </c>
      <c r="G475" t="str">
        <f t="shared" si="23"/>
        <v>2018-12</v>
      </c>
    </row>
    <row r="476" spans="1:7" x14ac:dyDescent="0.35">
      <c r="A476">
        <v>2018</v>
      </c>
      <c r="B476">
        <v>12</v>
      </c>
      <c r="C476" t="s">
        <v>3</v>
      </c>
      <c r="D476">
        <f>SUMIFS(
  fact_sales_monthly!$E:$E,
  fact_sales_monthly!$B:$B, A476,
  fact_sales_monthly!$C:$C, B476,
  fact_sales_monthly!$D:$D, C476
)</f>
        <v>84.75</v>
      </c>
      <c r="E476">
        <f t="shared" si="21"/>
        <v>84.75</v>
      </c>
      <c r="F476">
        <f t="shared" si="22"/>
        <v>21.1875</v>
      </c>
      <c r="G476" t="str">
        <f t="shared" si="23"/>
        <v>2018-12</v>
      </c>
    </row>
    <row r="477" spans="1:7" x14ac:dyDescent="0.35">
      <c r="A477">
        <v>2018</v>
      </c>
      <c r="B477">
        <v>12</v>
      </c>
      <c r="C477" t="s">
        <v>4</v>
      </c>
      <c r="D477">
        <f>SUMIFS(
  fact_sales_monthly!$E:$E,
  fact_sales_monthly!$B:$B, A477,
  fact_sales_monthly!$C:$C, B477,
  fact_sales_monthly!$D:$D, C477
)</f>
        <v>1213.95</v>
      </c>
      <c r="E477">
        <f t="shared" si="21"/>
        <v>1213.95</v>
      </c>
      <c r="F477">
        <f t="shared" si="22"/>
        <v>303.48750000000001</v>
      </c>
      <c r="G477" t="str">
        <f t="shared" si="23"/>
        <v>2018-12</v>
      </c>
    </row>
    <row r="478" spans="1:7" x14ac:dyDescent="0.35">
      <c r="A478">
        <v>2018</v>
      </c>
      <c r="B478">
        <v>12</v>
      </c>
      <c r="C478" t="s">
        <v>5</v>
      </c>
      <c r="D478">
        <f>SUMIFS(
  fact_sales_monthly!$E:$E,
  fact_sales_monthly!$B:$B, A478,
  fact_sales_monthly!$C:$C, B478,
  fact_sales_monthly!$D:$D, C478
)</f>
        <v>254</v>
      </c>
      <c r="E478">
        <f t="shared" si="21"/>
        <v>254</v>
      </c>
      <c r="F478">
        <f t="shared" si="22"/>
        <v>63.5</v>
      </c>
      <c r="G478" t="str">
        <f t="shared" si="23"/>
        <v>2018-12</v>
      </c>
    </row>
    <row r="479" spans="1:7" x14ac:dyDescent="0.35">
      <c r="A479">
        <v>2018</v>
      </c>
      <c r="B479">
        <v>12</v>
      </c>
      <c r="C479" t="s">
        <v>6</v>
      </c>
      <c r="D479">
        <f>SUMIFS(
  fact_sales_monthly!$E:$E,
  fact_sales_monthly!$B:$B, A479,
  fact_sales_monthly!$C:$C, B479,
  fact_sales_monthly!$D:$D, C479
)</f>
        <v>27</v>
      </c>
      <c r="E479">
        <f t="shared" si="21"/>
        <v>27</v>
      </c>
      <c r="F479">
        <f t="shared" si="22"/>
        <v>6.75</v>
      </c>
      <c r="G479" t="str">
        <f t="shared" si="23"/>
        <v>2018-12</v>
      </c>
    </row>
    <row r="480" spans="1:7" x14ac:dyDescent="0.35">
      <c r="A480">
        <v>2018</v>
      </c>
      <c r="B480">
        <v>12</v>
      </c>
      <c r="C480" t="s">
        <v>7</v>
      </c>
      <c r="D480">
        <f>SUMIFS(
  fact_sales_monthly!$E:$E,
  fact_sales_monthly!$B:$B, A480,
  fact_sales_monthly!$C:$C, B480,
  fact_sales_monthly!$D:$D, C480
)</f>
        <v>384</v>
      </c>
      <c r="E480">
        <f t="shared" si="21"/>
        <v>384</v>
      </c>
      <c r="F480">
        <f t="shared" si="22"/>
        <v>96</v>
      </c>
      <c r="G480" t="str">
        <f t="shared" si="23"/>
        <v>2018-12</v>
      </c>
    </row>
    <row r="481" spans="1:7" x14ac:dyDescent="0.35">
      <c r="A481">
        <v>2018</v>
      </c>
      <c r="B481">
        <v>12</v>
      </c>
      <c r="C481" t="s">
        <v>8</v>
      </c>
      <c r="D481">
        <f>SUMIFS(
  fact_sales_monthly!$E:$E,
  fact_sales_monthly!$B:$B, A481,
  fact_sales_monthly!$C:$C, B481,
  fact_sales_monthly!$D:$D, C481
)</f>
        <v>0</v>
      </c>
      <c r="E481">
        <f t="shared" si="21"/>
        <v>0</v>
      </c>
      <c r="F481">
        <f t="shared" si="22"/>
        <v>0</v>
      </c>
      <c r="G481" t="str">
        <f t="shared" si="23"/>
        <v>2018-12</v>
      </c>
    </row>
    <row r="482" spans="1:7" x14ac:dyDescent="0.35">
      <c r="A482">
        <v>2019</v>
      </c>
      <c r="B482">
        <v>1</v>
      </c>
      <c r="C482" t="s">
        <v>1</v>
      </c>
      <c r="D482">
        <f>SUMIFS(
  fact_sales_monthly!$E:$E,
  fact_sales_monthly!$B:$B, A482,
  fact_sales_monthly!$C:$C, B482,
  fact_sales_monthly!$D:$D, C482
)</f>
        <v>0</v>
      </c>
      <c r="E482">
        <f t="shared" si="21"/>
        <v>0</v>
      </c>
      <c r="F482">
        <f t="shared" si="22"/>
        <v>0</v>
      </c>
      <c r="G482" t="str">
        <f t="shared" si="23"/>
        <v>2019-01</v>
      </c>
    </row>
    <row r="483" spans="1:7" x14ac:dyDescent="0.35">
      <c r="A483">
        <v>2019</v>
      </c>
      <c r="B483">
        <v>1</v>
      </c>
      <c r="C483" t="s">
        <v>2</v>
      </c>
      <c r="D483">
        <f>SUMIFS(
  fact_sales_monthly!$E:$E,
  fact_sales_monthly!$B:$B, A483,
  fact_sales_monthly!$C:$C, B483,
  fact_sales_monthly!$D:$D, C483
)</f>
        <v>0</v>
      </c>
      <c r="E483">
        <f t="shared" si="21"/>
        <v>0</v>
      </c>
      <c r="F483">
        <f t="shared" si="22"/>
        <v>0</v>
      </c>
      <c r="G483" t="str">
        <f t="shared" si="23"/>
        <v>2019-01</v>
      </c>
    </row>
    <row r="484" spans="1:7" x14ac:dyDescent="0.35">
      <c r="A484">
        <v>2019</v>
      </c>
      <c r="B484">
        <v>1</v>
      </c>
      <c r="C484" t="s">
        <v>3</v>
      </c>
      <c r="D484">
        <f>SUMIFS(
  fact_sales_monthly!$E:$E,
  fact_sales_monthly!$B:$B, A484,
  fact_sales_monthly!$C:$C, B484,
  fact_sales_monthly!$D:$D, C484
)</f>
        <v>0</v>
      </c>
      <c r="E484">
        <f t="shared" si="21"/>
        <v>0</v>
      </c>
      <c r="F484">
        <f t="shared" si="22"/>
        <v>0</v>
      </c>
      <c r="G484" t="str">
        <f t="shared" si="23"/>
        <v>2019-01</v>
      </c>
    </row>
    <row r="485" spans="1:7" x14ac:dyDescent="0.35">
      <c r="A485">
        <v>2019</v>
      </c>
      <c r="B485">
        <v>1</v>
      </c>
      <c r="C485" t="s">
        <v>4</v>
      </c>
      <c r="D485">
        <f>SUMIFS(
  fact_sales_monthly!$E:$E,
  fact_sales_monthly!$B:$B, A485,
  fact_sales_monthly!$C:$C, B485,
  fact_sales_monthly!$D:$D, C485
)</f>
        <v>0</v>
      </c>
      <c r="E485">
        <f t="shared" si="21"/>
        <v>0</v>
      </c>
      <c r="F485">
        <f t="shared" si="22"/>
        <v>0</v>
      </c>
      <c r="G485" t="str">
        <f t="shared" si="23"/>
        <v>2019-01</v>
      </c>
    </row>
    <row r="486" spans="1:7" x14ac:dyDescent="0.35">
      <c r="A486">
        <v>2019</v>
      </c>
      <c r="B486">
        <v>1</v>
      </c>
      <c r="C486" t="s">
        <v>5</v>
      </c>
      <c r="D486">
        <f>SUMIFS(
  fact_sales_monthly!$E:$E,
  fact_sales_monthly!$B:$B, A486,
  fact_sales_monthly!$C:$C, B486,
  fact_sales_monthly!$D:$D, C486
)</f>
        <v>295.2</v>
      </c>
      <c r="E486">
        <f t="shared" si="21"/>
        <v>295.2</v>
      </c>
      <c r="F486">
        <f t="shared" si="22"/>
        <v>73.8</v>
      </c>
      <c r="G486" t="str">
        <f t="shared" si="23"/>
        <v>2019-01</v>
      </c>
    </row>
    <row r="487" spans="1:7" x14ac:dyDescent="0.35">
      <c r="A487">
        <v>2019</v>
      </c>
      <c r="B487">
        <v>1</v>
      </c>
      <c r="C487" t="s">
        <v>6</v>
      </c>
      <c r="D487">
        <f>SUMIFS(
  fact_sales_monthly!$E:$E,
  fact_sales_monthly!$B:$B, A487,
  fact_sales_monthly!$C:$C, B487,
  fact_sales_monthly!$D:$D, C487
)</f>
        <v>23</v>
      </c>
      <c r="E487">
        <f t="shared" si="21"/>
        <v>23</v>
      </c>
      <c r="F487">
        <f t="shared" si="22"/>
        <v>5.75</v>
      </c>
      <c r="G487" t="str">
        <f t="shared" si="23"/>
        <v>2019-01</v>
      </c>
    </row>
    <row r="488" spans="1:7" x14ac:dyDescent="0.35">
      <c r="A488">
        <v>2019</v>
      </c>
      <c r="B488">
        <v>1</v>
      </c>
      <c r="C488" t="s">
        <v>7</v>
      </c>
      <c r="D488">
        <f>SUMIFS(
  fact_sales_monthly!$E:$E,
  fact_sales_monthly!$B:$B, A488,
  fact_sales_monthly!$C:$C, B488,
  fact_sales_monthly!$D:$D, C488
)</f>
        <v>386</v>
      </c>
      <c r="E488">
        <f t="shared" si="21"/>
        <v>386</v>
      </c>
      <c r="F488">
        <f t="shared" si="22"/>
        <v>96.5</v>
      </c>
      <c r="G488" t="str">
        <f t="shared" si="23"/>
        <v>2019-01</v>
      </c>
    </row>
    <row r="489" spans="1:7" x14ac:dyDescent="0.35">
      <c r="A489">
        <v>2019</v>
      </c>
      <c r="B489">
        <v>1</v>
      </c>
      <c r="C489" t="s">
        <v>8</v>
      </c>
      <c r="D489">
        <f>SUMIFS(
  fact_sales_monthly!$E:$E,
  fact_sales_monthly!$B:$B, A489,
  fact_sales_monthly!$C:$C, B489,
  fact_sales_monthly!$D:$D, C489
)</f>
        <v>41.3</v>
      </c>
      <c r="E489">
        <f t="shared" si="21"/>
        <v>41.3</v>
      </c>
      <c r="F489">
        <f t="shared" si="22"/>
        <v>10.324999999999999</v>
      </c>
      <c r="G489" t="str">
        <f t="shared" si="23"/>
        <v>2019-01</v>
      </c>
    </row>
    <row r="490" spans="1:7" x14ac:dyDescent="0.35">
      <c r="A490">
        <v>2019</v>
      </c>
      <c r="B490">
        <v>2</v>
      </c>
      <c r="C490" t="s">
        <v>1</v>
      </c>
      <c r="D490">
        <f>SUMIFS(
  fact_sales_monthly!$E:$E,
  fact_sales_monthly!$B:$B, A490,
  fact_sales_monthly!$C:$C, B490,
  fact_sales_monthly!$D:$D, C490
)</f>
        <v>0</v>
      </c>
      <c r="E490">
        <f t="shared" si="21"/>
        <v>0</v>
      </c>
      <c r="F490">
        <f t="shared" si="22"/>
        <v>0</v>
      </c>
      <c r="G490" t="str">
        <f t="shared" si="23"/>
        <v>2019-02</v>
      </c>
    </row>
    <row r="491" spans="1:7" x14ac:dyDescent="0.35">
      <c r="A491">
        <v>2019</v>
      </c>
      <c r="B491">
        <v>2</v>
      </c>
      <c r="C491" t="s">
        <v>2</v>
      </c>
      <c r="D491">
        <f>SUMIFS(
  fact_sales_monthly!$E:$E,
  fact_sales_monthly!$B:$B, A491,
  fact_sales_monthly!$C:$C, B491,
  fact_sales_monthly!$D:$D, C491
)</f>
        <v>0</v>
      </c>
      <c r="E491">
        <f t="shared" si="21"/>
        <v>0</v>
      </c>
      <c r="F491">
        <f t="shared" si="22"/>
        <v>0</v>
      </c>
      <c r="G491" t="str">
        <f t="shared" si="23"/>
        <v>2019-02</v>
      </c>
    </row>
    <row r="492" spans="1:7" x14ac:dyDescent="0.35">
      <c r="A492">
        <v>2019</v>
      </c>
      <c r="B492">
        <v>2</v>
      </c>
      <c r="C492" t="s">
        <v>3</v>
      </c>
      <c r="D492">
        <f>SUMIFS(
  fact_sales_monthly!$E:$E,
  fact_sales_monthly!$B:$B, A492,
  fact_sales_monthly!$C:$C, B492,
  fact_sales_monthly!$D:$D, C492
)</f>
        <v>0</v>
      </c>
      <c r="E492">
        <f t="shared" si="21"/>
        <v>0</v>
      </c>
      <c r="F492">
        <f t="shared" si="22"/>
        <v>0</v>
      </c>
      <c r="G492" t="str">
        <f t="shared" si="23"/>
        <v>2019-02</v>
      </c>
    </row>
    <row r="493" spans="1:7" x14ac:dyDescent="0.35">
      <c r="A493">
        <v>2019</v>
      </c>
      <c r="B493">
        <v>2</v>
      </c>
      <c r="C493" t="s">
        <v>4</v>
      </c>
      <c r="D493">
        <f>SUMIFS(
  fact_sales_monthly!$E:$E,
  fact_sales_monthly!$B:$B, A493,
  fact_sales_monthly!$C:$C, B493,
  fact_sales_monthly!$D:$D, C493
)</f>
        <v>0</v>
      </c>
      <c r="E493">
        <f t="shared" si="21"/>
        <v>0</v>
      </c>
      <c r="F493">
        <f t="shared" si="22"/>
        <v>0</v>
      </c>
      <c r="G493" t="str">
        <f t="shared" si="23"/>
        <v>2019-02</v>
      </c>
    </row>
    <row r="494" spans="1:7" x14ac:dyDescent="0.35">
      <c r="A494">
        <v>2019</v>
      </c>
      <c r="B494">
        <v>2</v>
      </c>
      <c r="C494" t="s">
        <v>5</v>
      </c>
      <c r="D494">
        <f>SUMIFS(
  fact_sales_monthly!$E:$E,
  fact_sales_monthly!$B:$B, A494,
  fact_sales_monthly!$C:$C, B494,
  fact_sales_monthly!$D:$D, C494
)</f>
        <v>0</v>
      </c>
      <c r="E494">
        <f t="shared" si="21"/>
        <v>0</v>
      </c>
      <c r="F494">
        <f t="shared" si="22"/>
        <v>0</v>
      </c>
      <c r="G494" t="str">
        <f t="shared" si="23"/>
        <v>2019-02</v>
      </c>
    </row>
    <row r="495" spans="1:7" x14ac:dyDescent="0.35">
      <c r="A495">
        <v>2019</v>
      </c>
      <c r="B495">
        <v>2</v>
      </c>
      <c r="C495" t="s">
        <v>6</v>
      </c>
      <c r="D495">
        <f>SUMIFS(
  fact_sales_monthly!$E:$E,
  fact_sales_monthly!$B:$B, A495,
  fact_sales_monthly!$C:$C, B495,
  fact_sales_monthly!$D:$D, C495
)</f>
        <v>12</v>
      </c>
      <c r="E495">
        <f t="shared" si="21"/>
        <v>12</v>
      </c>
      <c r="F495">
        <f t="shared" si="22"/>
        <v>3</v>
      </c>
      <c r="G495" t="str">
        <f t="shared" si="23"/>
        <v>2019-02</v>
      </c>
    </row>
    <row r="496" spans="1:7" x14ac:dyDescent="0.35">
      <c r="A496">
        <v>2019</v>
      </c>
      <c r="B496">
        <v>2</v>
      </c>
      <c r="C496" t="s">
        <v>7</v>
      </c>
      <c r="D496">
        <f>SUMIFS(
  fact_sales_monthly!$E:$E,
  fact_sales_monthly!$B:$B, A496,
  fact_sales_monthly!$C:$C, B496,
  fact_sales_monthly!$D:$D, C496
)</f>
        <v>226</v>
      </c>
      <c r="E496">
        <f t="shared" si="21"/>
        <v>226</v>
      </c>
      <c r="F496">
        <f t="shared" si="22"/>
        <v>56.5</v>
      </c>
      <c r="G496" t="str">
        <f t="shared" si="23"/>
        <v>2019-02</v>
      </c>
    </row>
    <row r="497" spans="1:7" x14ac:dyDescent="0.35">
      <c r="A497">
        <v>2019</v>
      </c>
      <c r="B497">
        <v>2</v>
      </c>
      <c r="C497" t="s">
        <v>8</v>
      </c>
      <c r="D497">
        <f>SUMIFS(
  fact_sales_monthly!$E:$E,
  fact_sales_monthly!$B:$B, A497,
  fact_sales_monthly!$C:$C, B497,
  fact_sales_monthly!$D:$D, C497
)</f>
        <v>69.5</v>
      </c>
      <c r="E497">
        <f t="shared" si="21"/>
        <v>69.5</v>
      </c>
      <c r="F497">
        <f t="shared" si="22"/>
        <v>17.375</v>
      </c>
      <c r="G497" t="str">
        <f t="shared" si="23"/>
        <v>2019-02</v>
      </c>
    </row>
    <row r="498" spans="1:7" x14ac:dyDescent="0.35">
      <c r="A498">
        <v>2019</v>
      </c>
      <c r="B498">
        <v>3</v>
      </c>
      <c r="C498" t="s">
        <v>1</v>
      </c>
      <c r="D498">
        <f>SUMIFS(
  fact_sales_monthly!$E:$E,
  fact_sales_monthly!$B:$B, A498,
  fact_sales_monthly!$C:$C, B498,
  fact_sales_monthly!$D:$D, C498
)</f>
        <v>0</v>
      </c>
      <c r="E498">
        <f t="shared" si="21"/>
        <v>0</v>
      </c>
      <c r="F498">
        <f t="shared" si="22"/>
        <v>0</v>
      </c>
      <c r="G498" t="str">
        <f t="shared" si="23"/>
        <v>2019-03</v>
      </c>
    </row>
    <row r="499" spans="1:7" x14ac:dyDescent="0.35">
      <c r="A499">
        <v>2019</v>
      </c>
      <c r="B499">
        <v>3</v>
      </c>
      <c r="C499" t="s">
        <v>2</v>
      </c>
      <c r="D499">
        <f>SUMIFS(
  fact_sales_monthly!$E:$E,
  fact_sales_monthly!$B:$B, A499,
  fact_sales_monthly!$C:$C, B499,
  fact_sales_monthly!$D:$D, C499
)</f>
        <v>0</v>
      </c>
      <c r="E499">
        <f t="shared" si="21"/>
        <v>0</v>
      </c>
      <c r="F499">
        <f t="shared" si="22"/>
        <v>0</v>
      </c>
      <c r="G499" t="str">
        <f t="shared" si="23"/>
        <v>2019-03</v>
      </c>
    </row>
    <row r="500" spans="1:7" x14ac:dyDescent="0.35">
      <c r="A500">
        <v>2019</v>
      </c>
      <c r="B500">
        <v>3</v>
      </c>
      <c r="C500" t="s">
        <v>3</v>
      </c>
      <c r="D500">
        <f>SUMIFS(
  fact_sales_monthly!$E:$E,
  fact_sales_monthly!$B:$B, A500,
  fact_sales_monthly!$C:$C, B500,
  fact_sales_monthly!$D:$D, C500
)</f>
        <v>0</v>
      </c>
      <c r="E500">
        <f t="shared" si="21"/>
        <v>0</v>
      </c>
      <c r="F500">
        <f t="shared" si="22"/>
        <v>0</v>
      </c>
      <c r="G500" t="str">
        <f t="shared" si="23"/>
        <v>2019-03</v>
      </c>
    </row>
    <row r="501" spans="1:7" x14ac:dyDescent="0.35">
      <c r="A501">
        <v>2019</v>
      </c>
      <c r="B501">
        <v>3</v>
      </c>
      <c r="C501" t="s">
        <v>4</v>
      </c>
      <c r="D501">
        <f>SUMIFS(
  fact_sales_monthly!$E:$E,
  fact_sales_monthly!$B:$B, A501,
  fact_sales_monthly!$C:$C, B501,
  fact_sales_monthly!$D:$D, C501
)</f>
        <v>941.05</v>
      </c>
      <c r="E501">
        <f t="shared" si="21"/>
        <v>941.05</v>
      </c>
      <c r="F501">
        <f t="shared" si="22"/>
        <v>235.26249999999999</v>
      </c>
      <c r="G501" t="str">
        <f t="shared" si="23"/>
        <v>2019-03</v>
      </c>
    </row>
    <row r="502" spans="1:7" x14ac:dyDescent="0.35">
      <c r="A502">
        <v>2019</v>
      </c>
      <c r="B502">
        <v>3</v>
      </c>
      <c r="C502" t="s">
        <v>5</v>
      </c>
      <c r="D502">
        <f>SUMIFS(
  fact_sales_monthly!$E:$E,
  fact_sales_monthly!$B:$B, A502,
  fact_sales_monthly!$C:$C, B502,
  fact_sales_monthly!$D:$D, C502
)</f>
        <v>301.39999999999998</v>
      </c>
      <c r="E502">
        <f t="shared" si="21"/>
        <v>301.39999999999998</v>
      </c>
      <c r="F502">
        <f t="shared" si="22"/>
        <v>75.349999999999994</v>
      </c>
      <c r="G502" t="str">
        <f t="shared" si="23"/>
        <v>2019-03</v>
      </c>
    </row>
    <row r="503" spans="1:7" x14ac:dyDescent="0.35">
      <c r="A503">
        <v>2019</v>
      </c>
      <c r="B503">
        <v>3</v>
      </c>
      <c r="C503" t="s">
        <v>6</v>
      </c>
      <c r="D503">
        <f>SUMIFS(
  fact_sales_monthly!$E:$E,
  fact_sales_monthly!$B:$B, A503,
  fact_sales_monthly!$C:$C, B503,
  fact_sales_monthly!$D:$D, C503
)</f>
        <v>19</v>
      </c>
      <c r="E503">
        <f t="shared" si="21"/>
        <v>19</v>
      </c>
      <c r="F503">
        <f t="shared" si="22"/>
        <v>4.75</v>
      </c>
      <c r="G503" t="str">
        <f t="shared" si="23"/>
        <v>2019-03</v>
      </c>
    </row>
    <row r="504" spans="1:7" x14ac:dyDescent="0.35">
      <c r="A504">
        <v>2019</v>
      </c>
      <c r="B504">
        <v>3</v>
      </c>
      <c r="C504" t="s">
        <v>7</v>
      </c>
      <c r="D504">
        <f>SUMIFS(
  fact_sales_monthly!$E:$E,
  fact_sales_monthly!$B:$B, A504,
  fact_sales_monthly!$C:$C, B504,
  fact_sales_monthly!$D:$D, C504
)</f>
        <v>257</v>
      </c>
      <c r="E504">
        <f t="shared" si="21"/>
        <v>257</v>
      </c>
      <c r="F504">
        <f t="shared" si="22"/>
        <v>64.25</v>
      </c>
      <c r="G504" t="str">
        <f t="shared" si="23"/>
        <v>2019-03</v>
      </c>
    </row>
    <row r="505" spans="1:7" x14ac:dyDescent="0.35">
      <c r="A505">
        <v>2019</v>
      </c>
      <c r="B505">
        <v>3</v>
      </c>
      <c r="C505" t="s">
        <v>8</v>
      </c>
      <c r="D505">
        <f>SUMIFS(
  fact_sales_monthly!$E:$E,
  fact_sales_monthly!$B:$B, A505,
  fact_sales_monthly!$C:$C, B505,
  fact_sales_monthly!$D:$D, C505
)</f>
        <v>0</v>
      </c>
      <c r="E505">
        <f t="shared" si="21"/>
        <v>0</v>
      </c>
      <c r="F505">
        <f t="shared" si="22"/>
        <v>0</v>
      </c>
      <c r="G505" t="str">
        <f t="shared" si="23"/>
        <v>2019-03</v>
      </c>
    </row>
    <row r="506" spans="1:7" x14ac:dyDescent="0.35">
      <c r="A506">
        <v>2019</v>
      </c>
      <c r="B506">
        <v>4</v>
      </c>
      <c r="C506" t="s">
        <v>1</v>
      </c>
      <c r="D506">
        <f>SUMIFS(
  fact_sales_monthly!$E:$E,
  fact_sales_monthly!$B:$B, A506,
  fact_sales_monthly!$C:$C, B506,
  fact_sales_monthly!$D:$D, C506
)</f>
        <v>0</v>
      </c>
      <c r="E506">
        <f t="shared" si="21"/>
        <v>0</v>
      </c>
      <c r="F506">
        <f t="shared" si="22"/>
        <v>0</v>
      </c>
      <c r="G506" t="str">
        <f t="shared" si="23"/>
        <v>2019-04</v>
      </c>
    </row>
    <row r="507" spans="1:7" x14ac:dyDescent="0.35">
      <c r="A507">
        <v>2019</v>
      </c>
      <c r="B507">
        <v>4</v>
      </c>
      <c r="C507" t="s">
        <v>2</v>
      </c>
      <c r="D507">
        <f>SUMIFS(
  fact_sales_monthly!$E:$E,
  fact_sales_monthly!$B:$B, A507,
  fact_sales_monthly!$C:$C, B507,
  fact_sales_monthly!$D:$D, C507
)</f>
        <v>0</v>
      </c>
      <c r="E507">
        <f t="shared" si="21"/>
        <v>0</v>
      </c>
      <c r="F507">
        <f t="shared" si="22"/>
        <v>0</v>
      </c>
      <c r="G507" t="str">
        <f t="shared" si="23"/>
        <v>2019-04</v>
      </c>
    </row>
    <row r="508" spans="1:7" x14ac:dyDescent="0.35">
      <c r="A508">
        <v>2019</v>
      </c>
      <c r="B508">
        <v>4</v>
      </c>
      <c r="C508" t="s">
        <v>3</v>
      </c>
      <c r="D508">
        <f>SUMIFS(
  fact_sales_monthly!$E:$E,
  fact_sales_monthly!$B:$B, A508,
  fact_sales_monthly!$C:$C, B508,
  fact_sales_monthly!$D:$D, C508
)</f>
        <v>88.1</v>
      </c>
      <c r="E508">
        <f t="shared" si="21"/>
        <v>88.1</v>
      </c>
      <c r="F508">
        <f t="shared" si="22"/>
        <v>22.024999999999999</v>
      </c>
      <c r="G508" t="str">
        <f t="shared" si="23"/>
        <v>2019-04</v>
      </c>
    </row>
    <row r="509" spans="1:7" x14ac:dyDescent="0.35">
      <c r="A509">
        <v>2019</v>
      </c>
      <c r="B509">
        <v>4</v>
      </c>
      <c r="C509" t="s">
        <v>4</v>
      </c>
      <c r="D509">
        <f>SUMIFS(
  fact_sales_monthly!$E:$E,
  fact_sales_monthly!$B:$B, A509,
  fact_sales_monthly!$C:$C, B509,
  fact_sales_monthly!$D:$D, C509
)</f>
        <v>0</v>
      </c>
      <c r="E509">
        <f t="shared" si="21"/>
        <v>0</v>
      </c>
      <c r="F509">
        <f t="shared" si="22"/>
        <v>0</v>
      </c>
      <c r="G509" t="str">
        <f t="shared" si="23"/>
        <v>2019-04</v>
      </c>
    </row>
    <row r="510" spans="1:7" x14ac:dyDescent="0.35">
      <c r="A510">
        <v>2019</v>
      </c>
      <c r="B510">
        <v>4</v>
      </c>
      <c r="C510" t="s">
        <v>5</v>
      </c>
      <c r="D510">
        <f>SUMIFS(
  fact_sales_monthly!$E:$E,
  fact_sales_monthly!$B:$B, A510,
  fact_sales_monthly!$C:$C, B510,
  fact_sales_monthly!$D:$D, C510
)</f>
        <v>299.39999999999998</v>
      </c>
      <c r="E510">
        <f t="shared" si="21"/>
        <v>299.39999999999998</v>
      </c>
      <c r="F510">
        <f t="shared" si="22"/>
        <v>74.849999999999994</v>
      </c>
      <c r="G510" t="str">
        <f t="shared" si="23"/>
        <v>2019-04</v>
      </c>
    </row>
    <row r="511" spans="1:7" x14ac:dyDescent="0.35">
      <c r="A511">
        <v>2019</v>
      </c>
      <c r="B511">
        <v>4</v>
      </c>
      <c r="C511" t="s">
        <v>6</v>
      </c>
      <c r="D511">
        <f>SUMIFS(
  fact_sales_monthly!$E:$E,
  fact_sales_monthly!$B:$B, A511,
  fact_sales_monthly!$C:$C, B511,
  fact_sales_monthly!$D:$D, C511
)</f>
        <v>22</v>
      </c>
      <c r="E511">
        <f t="shared" si="21"/>
        <v>22</v>
      </c>
      <c r="F511">
        <f t="shared" si="22"/>
        <v>5.5</v>
      </c>
      <c r="G511" t="str">
        <f t="shared" si="23"/>
        <v>2019-04</v>
      </c>
    </row>
    <row r="512" spans="1:7" x14ac:dyDescent="0.35">
      <c r="A512">
        <v>2019</v>
      </c>
      <c r="B512">
        <v>4</v>
      </c>
      <c r="C512" t="s">
        <v>7</v>
      </c>
      <c r="D512">
        <f>SUMIFS(
  fact_sales_monthly!$E:$E,
  fact_sales_monthly!$B:$B, A512,
  fact_sales_monthly!$C:$C, B512,
  fact_sales_monthly!$D:$D, C512
)</f>
        <v>259</v>
      </c>
      <c r="E512">
        <f t="shared" si="21"/>
        <v>259</v>
      </c>
      <c r="F512">
        <f t="shared" si="22"/>
        <v>64.75</v>
      </c>
      <c r="G512" t="str">
        <f t="shared" si="23"/>
        <v>2019-04</v>
      </c>
    </row>
    <row r="513" spans="1:7" x14ac:dyDescent="0.35">
      <c r="A513">
        <v>2019</v>
      </c>
      <c r="B513">
        <v>4</v>
      </c>
      <c r="C513" t="s">
        <v>8</v>
      </c>
      <c r="D513">
        <f>SUMIFS(
  fact_sales_monthly!$E:$E,
  fact_sales_monthly!$B:$B, A513,
  fact_sales_monthly!$C:$C, B513,
  fact_sales_monthly!$D:$D, C513
)</f>
        <v>0</v>
      </c>
      <c r="E513">
        <f t="shared" si="21"/>
        <v>0</v>
      </c>
      <c r="F513">
        <f t="shared" si="22"/>
        <v>0</v>
      </c>
      <c r="G513" t="str">
        <f t="shared" si="23"/>
        <v>2019-04</v>
      </c>
    </row>
    <row r="514" spans="1:7" x14ac:dyDescent="0.35">
      <c r="A514">
        <v>2019</v>
      </c>
      <c r="B514">
        <v>5</v>
      </c>
      <c r="C514" t="s">
        <v>1</v>
      </c>
      <c r="D514">
        <f>SUMIFS(
  fact_sales_monthly!$E:$E,
  fact_sales_monthly!$B:$B, A514,
  fact_sales_monthly!$C:$C, B514,
  fact_sales_monthly!$D:$D, C514
)</f>
        <v>0</v>
      </c>
      <c r="E514">
        <f t="shared" si="21"/>
        <v>0</v>
      </c>
      <c r="F514">
        <f t="shared" si="22"/>
        <v>0</v>
      </c>
      <c r="G514" t="str">
        <f t="shared" si="23"/>
        <v>2019-05</v>
      </c>
    </row>
    <row r="515" spans="1:7" x14ac:dyDescent="0.35">
      <c r="A515">
        <v>2019</v>
      </c>
      <c r="B515">
        <v>5</v>
      </c>
      <c r="C515" t="s">
        <v>2</v>
      </c>
      <c r="D515">
        <f>SUMIFS(
  fact_sales_monthly!$E:$E,
  fact_sales_monthly!$B:$B, A515,
  fact_sales_monthly!$C:$C, B515,
  fact_sales_monthly!$D:$D, C515
)</f>
        <v>0</v>
      </c>
      <c r="E515">
        <f t="shared" ref="E515:E561" si="24">D515 * 1</f>
        <v>0</v>
      </c>
      <c r="F515">
        <f t="shared" ref="F515:F561" si="25">D515 * 0.25</f>
        <v>0</v>
      </c>
      <c r="G515" t="str">
        <f t="shared" ref="G515:G561" si="26">TEXT(DATE(A515, B515, 1), "yyyy-mm")</f>
        <v>2019-05</v>
      </c>
    </row>
    <row r="516" spans="1:7" x14ac:dyDescent="0.35">
      <c r="A516">
        <v>2019</v>
      </c>
      <c r="B516">
        <v>5</v>
      </c>
      <c r="C516" t="s">
        <v>3</v>
      </c>
      <c r="D516">
        <f>SUMIFS(
  fact_sales_monthly!$E:$E,
  fact_sales_monthly!$B:$B, A516,
  fact_sales_monthly!$C:$C, B516,
  fact_sales_monthly!$D:$D, C516
)</f>
        <v>104.1</v>
      </c>
      <c r="E516">
        <f t="shared" si="24"/>
        <v>104.1</v>
      </c>
      <c r="F516">
        <f t="shared" si="25"/>
        <v>26.024999999999999</v>
      </c>
      <c r="G516" t="str">
        <f t="shared" si="26"/>
        <v>2019-05</v>
      </c>
    </row>
    <row r="517" spans="1:7" x14ac:dyDescent="0.35">
      <c r="A517">
        <v>2019</v>
      </c>
      <c r="B517">
        <v>5</v>
      </c>
      <c r="C517" t="s">
        <v>4</v>
      </c>
      <c r="D517">
        <f>SUMIFS(
  fact_sales_monthly!$E:$E,
  fact_sales_monthly!$B:$B, A517,
  fact_sales_monthly!$C:$C, B517,
  fact_sales_monthly!$D:$D, C517
)</f>
        <v>0</v>
      </c>
      <c r="E517">
        <f t="shared" si="24"/>
        <v>0</v>
      </c>
      <c r="F517">
        <f t="shared" si="25"/>
        <v>0</v>
      </c>
      <c r="G517" t="str">
        <f t="shared" si="26"/>
        <v>2019-05</v>
      </c>
    </row>
    <row r="518" spans="1:7" x14ac:dyDescent="0.35">
      <c r="A518">
        <v>2019</v>
      </c>
      <c r="B518">
        <v>5</v>
      </c>
      <c r="C518" t="s">
        <v>5</v>
      </c>
      <c r="D518">
        <f>SUMIFS(
  fact_sales_monthly!$E:$E,
  fact_sales_monthly!$B:$B, A518,
  fact_sales_monthly!$C:$C, B518,
  fact_sales_monthly!$D:$D, C518
)</f>
        <v>0</v>
      </c>
      <c r="E518">
        <f t="shared" si="24"/>
        <v>0</v>
      </c>
      <c r="F518">
        <f t="shared" si="25"/>
        <v>0</v>
      </c>
      <c r="G518" t="str">
        <f t="shared" si="26"/>
        <v>2019-05</v>
      </c>
    </row>
    <row r="519" spans="1:7" x14ac:dyDescent="0.35">
      <c r="A519">
        <v>2019</v>
      </c>
      <c r="B519">
        <v>5</v>
      </c>
      <c r="C519" t="s">
        <v>6</v>
      </c>
      <c r="D519">
        <f>SUMIFS(
  fact_sales_monthly!$E:$E,
  fact_sales_monthly!$B:$B, A519,
  fact_sales_monthly!$C:$C, B519,
  fact_sales_monthly!$D:$D, C519
)</f>
        <v>26</v>
      </c>
      <c r="E519">
        <f t="shared" si="24"/>
        <v>26</v>
      </c>
      <c r="F519">
        <f t="shared" si="25"/>
        <v>6.5</v>
      </c>
      <c r="G519" t="str">
        <f t="shared" si="26"/>
        <v>2019-05</v>
      </c>
    </row>
    <row r="520" spans="1:7" x14ac:dyDescent="0.35">
      <c r="A520">
        <v>2019</v>
      </c>
      <c r="B520">
        <v>5</v>
      </c>
      <c r="C520" t="s">
        <v>7</v>
      </c>
      <c r="D520">
        <f>SUMIFS(
  fact_sales_monthly!$E:$E,
  fact_sales_monthly!$B:$B, A520,
  fact_sales_monthly!$C:$C, B520,
  fact_sales_monthly!$D:$D, C520
)</f>
        <v>322</v>
      </c>
      <c r="E520">
        <f t="shared" si="24"/>
        <v>322</v>
      </c>
      <c r="F520">
        <f t="shared" si="25"/>
        <v>80.5</v>
      </c>
      <c r="G520" t="str">
        <f t="shared" si="26"/>
        <v>2019-05</v>
      </c>
    </row>
    <row r="521" spans="1:7" x14ac:dyDescent="0.35">
      <c r="A521">
        <v>2019</v>
      </c>
      <c r="B521">
        <v>5</v>
      </c>
      <c r="C521" t="s">
        <v>8</v>
      </c>
      <c r="D521">
        <f>SUMIFS(
  fact_sales_monthly!$E:$E,
  fact_sales_monthly!$B:$B, A521,
  fact_sales_monthly!$C:$C, B521,
  fact_sales_monthly!$D:$D, C521
)</f>
        <v>135.4</v>
      </c>
      <c r="E521">
        <f t="shared" si="24"/>
        <v>135.4</v>
      </c>
      <c r="F521">
        <f t="shared" si="25"/>
        <v>33.85</v>
      </c>
      <c r="G521" t="str">
        <f t="shared" si="26"/>
        <v>2019-05</v>
      </c>
    </row>
    <row r="522" spans="1:7" x14ac:dyDescent="0.35">
      <c r="A522">
        <v>2019</v>
      </c>
      <c r="B522">
        <v>6</v>
      </c>
      <c r="C522" t="s">
        <v>1</v>
      </c>
      <c r="D522">
        <f>SUMIFS(
  fact_sales_monthly!$E:$E,
  fact_sales_monthly!$B:$B, A522,
  fact_sales_monthly!$C:$C, B522,
  fact_sales_monthly!$D:$D, C522
)</f>
        <v>0</v>
      </c>
      <c r="E522">
        <f t="shared" si="24"/>
        <v>0</v>
      </c>
      <c r="F522">
        <f t="shared" si="25"/>
        <v>0</v>
      </c>
      <c r="G522" t="str">
        <f t="shared" si="26"/>
        <v>2019-06</v>
      </c>
    </row>
    <row r="523" spans="1:7" x14ac:dyDescent="0.35">
      <c r="A523">
        <v>2019</v>
      </c>
      <c r="B523">
        <v>6</v>
      </c>
      <c r="C523" t="s">
        <v>2</v>
      </c>
      <c r="D523">
        <f>SUMIFS(
  fact_sales_monthly!$E:$E,
  fact_sales_monthly!$B:$B, A523,
  fact_sales_monthly!$C:$C, B523,
  fact_sales_monthly!$D:$D, C523
)</f>
        <v>0</v>
      </c>
      <c r="E523">
        <f t="shared" si="24"/>
        <v>0</v>
      </c>
      <c r="F523">
        <f t="shared" si="25"/>
        <v>0</v>
      </c>
      <c r="G523" t="str">
        <f t="shared" si="26"/>
        <v>2019-06</v>
      </c>
    </row>
    <row r="524" spans="1:7" x14ac:dyDescent="0.35">
      <c r="A524">
        <v>2019</v>
      </c>
      <c r="B524">
        <v>6</v>
      </c>
      <c r="C524" t="s">
        <v>3</v>
      </c>
      <c r="D524">
        <f>SUMIFS(
  fact_sales_monthly!$E:$E,
  fact_sales_monthly!$B:$B, A524,
  fact_sales_monthly!$C:$C, B524,
  fact_sales_monthly!$D:$D, C524
)</f>
        <v>103.2</v>
      </c>
      <c r="E524">
        <f t="shared" si="24"/>
        <v>103.2</v>
      </c>
      <c r="F524">
        <f t="shared" si="25"/>
        <v>25.8</v>
      </c>
      <c r="G524" t="str">
        <f t="shared" si="26"/>
        <v>2019-06</v>
      </c>
    </row>
    <row r="525" spans="1:7" x14ac:dyDescent="0.35">
      <c r="A525">
        <v>2019</v>
      </c>
      <c r="B525">
        <v>6</v>
      </c>
      <c r="C525" t="s">
        <v>4</v>
      </c>
      <c r="D525">
        <f>SUMIFS(
  fact_sales_monthly!$E:$E,
  fact_sales_monthly!$B:$B, A525,
  fact_sales_monthly!$C:$C, B525,
  fact_sales_monthly!$D:$D, C525
)</f>
        <v>0</v>
      </c>
      <c r="E525">
        <f t="shared" si="24"/>
        <v>0</v>
      </c>
      <c r="F525">
        <f t="shared" si="25"/>
        <v>0</v>
      </c>
      <c r="G525" t="str">
        <f t="shared" si="26"/>
        <v>2019-06</v>
      </c>
    </row>
    <row r="526" spans="1:7" x14ac:dyDescent="0.35">
      <c r="A526">
        <v>2019</v>
      </c>
      <c r="B526">
        <v>6</v>
      </c>
      <c r="C526" t="s">
        <v>5</v>
      </c>
      <c r="D526">
        <f>SUMIFS(
  fact_sales_monthly!$E:$E,
  fact_sales_monthly!$B:$B, A526,
  fact_sales_monthly!$C:$C, B526,
  fact_sales_monthly!$D:$D, C526
)</f>
        <v>193</v>
      </c>
      <c r="E526">
        <f t="shared" si="24"/>
        <v>193</v>
      </c>
      <c r="F526">
        <f t="shared" si="25"/>
        <v>48.25</v>
      </c>
      <c r="G526" t="str">
        <f t="shared" si="26"/>
        <v>2019-06</v>
      </c>
    </row>
    <row r="527" spans="1:7" x14ac:dyDescent="0.35">
      <c r="A527">
        <v>2019</v>
      </c>
      <c r="B527">
        <v>6</v>
      </c>
      <c r="C527" t="s">
        <v>6</v>
      </c>
      <c r="D527">
        <f>SUMIFS(
  fact_sales_monthly!$E:$E,
  fact_sales_monthly!$B:$B, A527,
  fact_sales_monthly!$C:$C, B527,
  fact_sales_monthly!$D:$D, C527
)</f>
        <v>25</v>
      </c>
      <c r="E527">
        <f t="shared" si="24"/>
        <v>25</v>
      </c>
      <c r="F527">
        <f t="shared" si="25"/>
        <v>6.25</v>
      </c>
      <c r="G527" t="str">
        <f t="shared" si="26"/>
        <v>2019-06</v>
      </c>
    </row>
    <row r="528" spans="1:7" x14ac:dyDescent="0.35">
      <c r="A528">
        <v>2019</v>
      </c>
      <c r="B528">
        <v>6</v>
      </c>
      <c r="C528" t="s">
        <v>7</v>
      </c>
      <c r="D528">
        <f>SUMIFS(
  fact_sales_monthly!$E:$E,
  fact_sales_monthly!$B:$B, A528,
  fact_sales_monthly!$C:$C, B528,
  fact_sales_monthly!$D:$D, C528
)</f>
        <v>142</v>
      </c>
      <c r="E528">
        <f t="shared" si="24"/>
        <v>142</v>
      </c>
      <c r="F528">
        <f t="shared" si="25"/>
        <v>35.5</v>
      </c>
      <c r="G528" t="str">
        <f t="shared" si="26"/>
        <v>2019-06</v>
      </c>
    </row>
    <row r="529" spans="1:7" x14ac:dyDescent="0.35">
      <c r="A529">
        <v>2019</v>
      </c>
      <c r="B529">
        <v>6</v>
      </c>
      <c r="C529" t="s">
        <v>8</v>
      </c>
      <c r="D529">
        <f>SUMIFS(
  fact_sales_monthly!$E:$E,
  fact_sales_monthly!$B:$B, A529,
  fact_sales_monthly!$C:$C, B529,
  fact_sales_monthly!$D:$D, C529
)</f>
        <v>156.04</v>
      </c>
      <c r="E529">
        <f t="shared" si="24"/>
        <v>156.04</v>
      </c>
      <c r="F529">
        <f t="shared" si="25"/>
        <v>39.01</v>
      </c>
      <c r="G529" t="str">
        <f t="shared" si="26"/>
        <v>2019-06</v>
      </c>
    </row>
    <row r="530" spans="1:7" x14ac:dyDescent="0.35">
      <c r="A530">
        <v>2019</v>
      </c>
      <c r="B530">
        <v>7</v>
      </c>
      <c r="C530" t="s">
        <v>1</v>
      </c>
      <c r="D530">
        <f>SUMIFS(
  fact_sales_monthly!$E:$E,
  fact_sales_monthly!$B:$B, A530,
  fact_sales_monthly!$C:$C, B530,
  fact_sales_monthly!$D:$D, C530
)</f>
        <v>181</v>
      </c>
      <c r="E530">
        <f t="shared" si="24"/>
        <v>181</v>
      </c>
      <c r="F530">
        <f t="shared" si="25"/>
        <v>45.25</v>
      </c>
      <c r="G530" t="str">
        <f t="shared" si="26"/>
        <v>2019-07</v>
      </c>
    </row>
    <row r="531" spans="1:7" x14ac:dyDescent="0.35">
      <c r="A531">
        <v>2019</v>
      </c>
      <c r="B531">
        <v>7</v>
      </c>
      <c r="C531" t="s">
        <v>2</v>
      </c>
      <c r="D531">
        <f>SUMIFS(
  fact_sales_monthly!$E:$E,
  fact_sales_monthly!$B:$B, A531,
  fact_sales_monthly!$C:$C, B531,
  fact_sales_monthly!$D:$D, C531
)</f>
        <v>0</v>
      </c>
      <c r="E531">
        <f t="shared" si="24"/>
        <v>0</v>
      </c>
      <c r="F531">
        <f t="shared" si="25"/>
        <v>0</v>
      </c>
      <c r="G531" t="str">
        <f t="shared" si="26"/>
        <v>2019-07</v>
      </c>
    </row>
    <row r="532" spans="1:7" x14ac:dyDescent="0.35">
      <c r="A532">
        <v>2019</v>
      </c>
      <c r="B532">
        <v>7</v>
      </c>
      <c r="C532" t="s">
        <v>3</v>
      </c>
      <c r="D532">
        <f>SUMIFS(
  fact_sales_monthly!$E:$E,
  fact_sales_monthly!$B:$B, A532,
  fact_sales_monthly!$C:$C, B532,
  fact_sales_monthly!$D:$D, C532
)</f>
        <v>92.8</v>
      </c>
      <c r="E532">
        <f t="shared" si="24"/>
        <v>92.8</v>
      </c>
      <c r="F532">
        <f t="shared" si="25"/>
        <v>23.2</v>
      </c>
      <c r="G532" t="str">
        <f t="shared" si="26"/>
        <v>2019-07</v>
      </c>
    </row>
    <row r="533" spans="1:7" x14ac:dyDescent="0.35">
      <c r="A533">
        <v>2019</v>
      </c>
      <c r="B533">
        <v>7</v>
      </c>
      <c r="C533" t="s">
        <v>4</v>
      </c>
      <c r="D533">
        <f>SUMIFS(
  fact_sales_monthly!$E:$E,
  fact_sales_monthly!$B:$B, A533,
  fact_sales_monthly!$C:$C, B533,
  fact_sales_monthly!$D:$D, C533
)</f>
        <v>649.79999999999995</v>
      </c>
      <c r="E533">
        <f t="shared" si="24"/>
        <v>649.79999999999995</v>
      </c>
      <c r="F533">
        <f t="shared" si="25"/>
        <v>162.44999999999999</v>
      </c>
      <c r="G533" t="str">
        <f t="shared" si="26"/>
        <v>2019-07</v>
      </c>
    </row>
    <row r="534" spans="1:7" x14ac:dyDescent="0.35">
      <c r="A534">
        <v>2019</v>
      </c>
      <c r="B534">
        <v>7</v>
      </c>
      <c r="C534" t="s">
        <v>5</v>
      </c>
      <c r="D534">
        <f>SUMIFS(
  fact_sales_monthly!$E:$E,
  fact_sales_monthly!$B:$B, A534,
  fact_sales_monthly!$C:$C, B534,
  fact_sales_monthly!$D:$D, C534
)</f>
        <v>0</v>
      </c>
      <c r="E534">
        <f t="shared" si="24"/>
        <v>0</v>
      </c>
      <c r="F534">
        <f t="shared" si="25"/>
        <v>0</v>
      </c>
      <c r="G534" t="str">
        <f t="shared" si="26"/>
        <v>2019-07</v>
      </c>
    </row>
    <row r="535" spans="1:7" x14ac:dyDescent="0.35">
      <c r="A535">
        <v>2019</v>
      </c>
      <c r="B535">
        <v>7</v>
      </c>
      <c r="C535" t="s">
        <v>6</v>
      </c>
      <c r="D535">
        <f>SUMIFS(
  fact_sales_monthly!$E:$E,
  fact_sales_monthly!$B:$B, A535,
  fact_sales_monthly!$C:$C, B535,
  fact_sales_monthly!$D:$D, C535
)</f>
        <v>20</v>
      </c>
      <c r="E535">
        <f t="shared" si="24"/>
        <v>20</v>
      </c>
      <c r="F535">
        <f t="shared" si="25"/>
        <v>5</v>
      </c>
      <c r="G535" t="str">
        <f t="shared" si="26"/>
        <v>2019-07</v>
      </c>
    </row>
    <row r="536" spans="1:7" x14ac:dyDescent="0.35">
      <c r="A536">
        <v>2019</v>
      </c>
      <c r="B536">
        <v>7</v>
      </c>
      <c r="C536" t="s">
        <v>7</v>
      </c>
      <c r="D536">
        <f>SUMIFS(
  fact_sales_monthly!$E:$E,
  fact_sales_monthly!$B:$B, A536,
  fact_sales_monthly!$C:$C, B536,
  fact_sales_monthly!$D:$D, C536
)</f>
        <v>115</v>
      </c>
      <c r="E536">
        <f t="shared" si="24"/>
        <v>115</v>
      </c>
      <c r="F536">
        <f t="shared" si="25"/>
        <v>28.75</v>
      </c>
      <c r="G536" t="str">
        <f t="shared" si="26"/>
        <v>2019-07</v>
      </c>
    </row>
    <row r="537" spans="1:7" x14ac:dyDescent="0.35">
      <c r="A537">
        <v>2019</v>
      </c>
      <c r="B537">
        <v>7</v>
      </c>
      <c r="C537" t="s">
        <v>8</v>
      </c>
      <c r="D537">
        <f>SUMIFS(
  fact_sales_monthly!$E:$E,
  fact_sales_monthly!$B:$B, A537,
  fact_sales_monthly!$C:$C, B537,
  fact_sales_monthly!$D:$D, C537
)</f>
        <v>105.2</v>
      </c>
      <c r="E537">
        <f t="shared" si="24"/>
        <v>105.2</v>
      </c>
      <c r="F537">
        <f t="shared" si="25"/>
        <v>26.3</v>
      </c>
      <c r="G537" t="str">
        <f t="shared" si="26"/>
        <v>2019-07</v>
      </c>
    </row>
    <row r="538" spans="1:7" x14ac:dyDescent="0.35">
      <c r="A538">
        <v>2019</v>
      </c>
      <c r="B538">
        <v>8</v>
      </c>
      <c r="C538" t="s">
        <v>1</v>
      </c>
      <c r="D538">
        <f>SUMIFS(
  fact_sales_monthly!$E:$E,
  fact_sales_monthly!$B:$B, A538,
  fact_sales_monthly!$C:$C, B538,
  fact_sales_monthly!$D:$D, C538
)</f>
        <v>0</v>
      </c>
      <c r="E538">
        <f t="shared" si="24"/>
        <v>0</v>
      </c>
      <c r="F538">
        <f t="shared" si="25"/>
        <v>0</v>
      </c>
      <c r="G538" t="str">
        <f t="shared" si="26"/>
        <v>2019-08</v>
      </c>
    </row>
    <row r="539" spans="1:7" x14ac:dyDescent="0.35">
      <c r="A539">
        <v>2019</v>
      </c>
      <c r="B539">
        <v>8</v>
      </c>
      <c r="C539" t="s">
        <v>2</v>
      </c>
      <c r="D539">
        <f>SUMIFS(
  fact_sales_monthly!$E:$E,
  fact_sales_monthly!$B:$B, A539,
  fact_sales_monthly!$C:$C, B539,
  fact_sales_monthly!$D:$D, C539
)</f>
        <v>0</v>
      </c>
      <c r="E539">
        <f t="shared" si="24"/>
        <v>0</v>
      </c>
      <c r="F539">
        <f t="shared" si="25"/>
        <v>0</v>
      </c>
      <c r="G539" t="str">
        <f t="shared" si="26"/>
        <v>2019-08</v>
      </c>
    </row>
    <row r="540" spans="1:7" x14ac:dyDescent="0.35">
      <c r="A540">
        <v>2019</v>
      </c>
      <c r="B540">
        <v>8</v>
      </c>
      <c r="C540" t="s">
        <v>3</v>
      </c>
      <c r="D540">
        <f>SUMIFS(
  fact_sales_monthly!$E:$E,
  fact_sales_monthly!$B:$B, A540,
  fact_sales_monthly!$C:$C, B540,
  fact_sales_monthly!$D:$D, C540
)</f>
        <v>0</v>
      </c>
      <c r="E540">
        <f t="shared" si="24"/>
        <v>0</v>
      </c>
      <c r="F540">
        <f t="shared" si="25"/>
        <v>0</v>
      </c>
      <c r="G540" t="str">
        <f t="shared" si="26"/>
        <v>2019-08</v>
      </c>
    </row>
    <row r="541" spans="1:7" x14ac:dyDescent="0.35">
      <c r="A541">
        <v>2019</v>
      </c>
      <c r="B541">
        <v>8</v>
      </c>
      <c r="C541" t="s">
        <v>4</v>
      </c>
      <c r="D541">
        <f>SUMIFS(
  fact_sales_monthly!$E:$E,
  fact_sales_monthly!$B:$B, A541,
  fact_sales_monthly!$C:$C, B541,
  fact_sales_monthly!$D:$D, C541
)</f>
        <v>0</v>
      </c>
      <c r="E541">
        <f t="shared" si="24"/>
        <v>0</v>
      </c>
      <c r="F541">
        <f t="shared" si="25"/>
        <v>0</v>
      </c>
      <c r="G541" t="str">
        <f t="shared" si="26"/>
        <v>2019-08</v>
      </c>
    </row>
    <row r="542" spans="1:7" x14ac:dyDescent="0.35">
      <c r="A542">
        <v>2019</v>
      </c>
      <c r="B542">
        <v>8</v>
      </c>
      <c r="C542" t="s">
        <v>5</v>
      </c>
      <c r="D542">
        <f>SUMIFS(
  fact_sales_monthly!$E:$E,
  fact_sales_monthly!$B:$B, A542,
  fact_sales_monthly!$C:$C, B542,
  fact_sales_monthly!$D:$D, C542
)</f>
        <v>237</v>
      </c>
      <c r="E542">
        <f t="shared" si="24"/>
        <v>237</v>
      </c>
      <c r="F542">
        <f t="shared" si="25"/>
        <v>59.25</v>
      </c>
      <c r="G542" t="str">
        <f t="shared" si="26"/>
        <v>2019-08</v>
      </c>
    </row>
    <row r="543" spans="1:7" x14ac:dyDescent="0.35">
      <c r="A543">
        <v>2019</v>
      </c>
      <c r="B543">
        <v>8</v>
      </c>
      <c r="C543" t="s">
        <v>6</v>
      </c>
      <c r="D543">
        <f>SUMIFS(
  fact_sales_monthly!$E:$E,
  fact_sales_monthly!$B:$B, A543,
  fact_sales_monthly!$C:$C, B543,
  fact_sales_monthly!$D:$D, C543
)</f>
        <v>26</v>
      </c>
      <c r="E543">
        <f t="shared" si="24"/>
        <v>26</v>
      </c>
      <c r="F543">
        <f t="shared" si="25"/>
        <v>6.5</v>
      </c>
      <c r="G543" t="str">
        <f t="shared" si="26"/>
        <v>2019-08</v>
      </c>
    </row>
    <row r="544" spans="1:7" x14ac:dyDescent="0.35">
      <c r="A544">
        <v>2019</v>
      </c>
      <c r="B544">
        <v>8</v>
      </c>
      <c r="C544" t="s">
        <v>7</v>
      </c>
      <c r="D544">
        <f>SUMIFS(
  fact_sales_monthly!$E:$E,
  fact_sales_monthly!$B:$B, A544,
  fact_sales_monthly!$C:$C, B544,
  fact_sales_monthly!$D:$D, C544
)</f>
        <v>145</v>
      </c>
      <c r="E544">
        <f t="shared" si="24"/>
        <v>145</v>
      </c>
      <c r="F544">
        <f t="shared" si="25"/>
        <v>36.25</v>
      </c>
      <c r="G544" t="str">
        <f t="shared" si="26"/>
        <v>2019-08</v>
      </c>
    </row>
    <row r="545" spans="1:7" x14ac:dyDescent="0.35">
      <c r="A545">
        <v>2019</v>
      </c>
      <c r="B545">
        <v>8</v>
      </c>
      <c r="C545" t="s">
        <v>8</v>
      </c>
      <c r="D545">
        <f>SUMIFS(
  fact_sales_monthly!$E:$E,
  fact_sales_monthly!$B:$B, A545,
  fact_sales_monthly!$C:$C, B545,
  fact_sales_monthly!$D:$D, C545
)</f>
        <v>97.3</v>
      </c>
      <c r="E545">
        <f t="shared" si="24"/>
        <v>97.3</v>
      </c>
      <c r="F545">
        <f t="shared" si="25"/>
        <v>24.324999999999999</v>
      </c>
      <c r="G545" t="str">
        <f t="shared" si="26"/>
        <v>2019-08</v>
      </c>
    </row>
    <row r="546" spans="1:7" x14ac:dyDescent="0.35">
      <c r="A546">
        <v>2019</v>
      </c>
      <c r="B546">
        <v>9</v>
      </c>
      <c r="C546" t="s">
        <v>1</v>
      </c>
      <c r="D546">
        <f>SUMIFS(
  fact_sales_monthly!$E:$E,
  fact_sales_monthly!$B:$B, A546,
  fact_sales_monthly!$C:$C, B546,
  fact_sales_monthly!$D:$D, C546
)</f>
        <v>0</v>
      </c>
      <c r="E546">
        <f t="shared" si="24"/>
        <v>0</v>
      </c>
      <c r="F546">
        <f t="shared" si="25"/>
        <v>0</v>
      </c>
      <c r="G546" t="str">
        <f t="shared" si="26"/>
        <v>2019-09</v>
      </c>
    </row>
    <row r="547" spans="1:7" x14ac:dyDescent="0.35">
      <c r="A547">
        <v>2019</v>
      </c>
      <c r="B547">
        <v>9</v>
      </c>
      <c r="C547" t="s">
        <v>2</v>
      </c>
      <c r="D547">
        <f>SUMIFS(
  fact_sales_monthly!$E:$E,
  fact_sales_monthly!$B:$B, A547,
  fact_sales_monthly!$C:$C, B547,
  fact_sales_monthly!$D:$D, C547
)</f>
        <v>0</v>
      </c>
      <c r="E547">
        <f t="shared" si="24"/>
        <v>0</v>
      </c>
      <c r="F547">
        <f t="shared" si="25"/>
        <v>0</v>
      </c>
      <c r="G547" t="str">
        <f t="shared" si="26"/>
        <v>2019-09</v>
      </c>
    </row>
    <row r="548" spans="1:7" x14ac:dyDescent="0.35">
      <c r="A548">
        <v>2019</v>
      </c>
      <c r="B548">
        <v>9</v>
      </c>
      <c r="C548" t="s">
        <v>3</v>
      </c>
      <c r="D548">
        <f>SUMIFS(
  fact_sales_monthly!$E:$E,
  fact_sales_monthly!$B:$B, A548,
  fact_sales_monthly!$C:$C, B548,
  fact_sales_monthly!$D:$D, C548
)</f>
        <v>0</v>
      </c>
      <c r="E548">
        <f t="shared" si="24"/>
        <v>0</v>
      </c>
      <c r="F548">
        <f t="shared" si="25"/>
        <v>0</v>
      </c>
      <c r="G548" t="str">
        <f t="shared" si="26"/>
        <v>2019-09</v>
      </c>
    </row>
    <row r="549" spans="1:7" x14ac:dyDescent="0.35">
      <c r="A549">
        <v>2019</v>
      </c>
      <c r="B549">
        <v>9</v>
      </c>
      <c r="C549" t="s">
        <v>4</v>
      </c>
      <c r="D549">
        <f>SUMIFS(
  fact_sales_monthly!$E:$E,
  fact_sales_monthly!$B:$B, A549,
  fact_sales_monthly!$C:$C, B549,
  fact_sales_monthly!$D:$D, C549
)</f>
        <v>0</v>
      </c>
      <c r="E549">
        <f t="shared" si="24"/>
        <v>0</v>
      </c>
      <c r="F549">
        <f t="shared" si="25"/>
        <v>0</v>
      </c>
      <c r="G549" t="str">
        <f t="shared" si="26"/>
        <v>2019-09</v>
      </c>
    </row>
    <row r="550" spans="1:7" x14ac:dyDescent="0.35">
      <c r="A550">
        <v>2019</v>
      </c>
      <c r="B550">
        <v>9</v>
      </c>
      <c r="C550" t="s">
        <v>5</v>
      </c>
      <c r="D550">
        <f>SUMIFS(
  fact_sales_monthly!$E:$E,
  fact_sales_monthly!$B:$B, A550,
  fact_sales_monthly!$C:$C, B550,
  fact_sales_monthly!$D:$D, C550
)</f>
        <v>0</v>
      </c>
      <c r="E550">
        <f t="shared" si="24"/>
        <v>0</v>
      </c>
      <c r="F550">
        <f t="shared" si="25"/>
        <v>0</v>
      </c>
      <c r="G550" t="str">
        <f t="shared" si="26"/>
        <v>2019-09</v>
      </c>
    </row>
    <row r="551" spans="1:7" x14ac:dyDescent="0.35">
      <c r="A551">
        <v>2019</v>
      </c>
      <c r="B551">
        <v>9</v>
      </c>
      <c r="C551" t="s">
        <v>6</v>
      </c>
      <c r="D551">
        <f>SUMIFS(
  fact_sales_monthly!$E:$E,
  fact_sales_monthly!$B:$B, A551,
  fact_sales_monthly!$C:$C, B551,
  fact_sales_monthly!$D:$D, C551
)</f>
        <v>16</v>
      </c>
      <c r="E551">
        <f t="shared" si="24"/>
        <v>16</v>
      </c>
      <c r="F551">
        <f t="shared" si="25"/>
        <v>4</v>
      </c>
      <c r="G551" t="str">
        <f t="shared" si="26"/>
        <v>2019-09</v>
      </c>
    </row>
    <row r="552" spans="1:7" x14ac:dyDescent="0.35">
      <c r="A552">
        <v>2019</v>
      </c>
      <c r="B552">
        <v>9</v>
      </c>
      <c r="C552" t="s">
        <v>7</v>
      </c>
      <c r="D552">
        <f>SUMIFS(
  fact_sales_monthly!$E:$E,
  fact_sales_monthly!$B:$B, A552,
  fact_sales_monthly!$C:$C, B552,
  fact_sales_monthly!$D:$D, C552
)</f>
        <v>161</v>
      </c>
      <c r="E552">
        <f t="shared" si="24"/>
        <v>161</v>
      </c>
      <c r="F552">
        <f t="shared" si="25"/>
        <v>40.25</v>
      </c>
      <c r="G552" t="str">
        <f t="shared" si="26"/>
        <v>2019-09</v>
      </c>
    </row>
    <row r="553" spans="1:7" x14ac:dyDescent="0.35">
      <c r="A553">
        <v>2019</v>
      </c>
      <c r="B553">
        <v>9</v>
      </c>
      <c r="C553" t="s">
        <v>8</v>
      </c>
      <c r="D553">
        <f>SUMIFS(
  fact_sales_monthly!$E:$E,
  fact_sales_monthly!$B:$B, A553,
  fact_sales_monthly!$C:$C, B553,
  fact_sales_monthly!$D:$D, C553
)</f>
        <v>109.1</v>
      </c>
      <c r="E553">
        <f t="shared" si="24"/>
        <v>109.1</v>
      </c>
      <c r="F553">
        <f t="shared" si="25"/>
        <v>27.274999999999999</v>
      </c>
      <c r="G553" t="str">
        <f t="shared" si="26"/>
        <v>2019-09</v>
      </c>
    </row>
    <row r="554" spans="1:7" x14ac:dyDescent="0.35">
      <c r="A554">
        <v>2019</v>
      </c>
      <c r="B554">
        <v>10</v>
      </c>
      <c r="C554" t="s">
        <v>1</v>
      </c>
      <c r="D554">
        <f>SUMIFS(
  fact_sales_monthly!$E:$E,
  fact_sales_monthly!$B:$B, A554,
  fact_sales_monthly!$C:$C, B554,
  fact_sales_monthly!$D:$D, C554
)</f>
        <v>0</v>
      </c>
      <c r="E554">
        <f t="shared" si="24"/>
        <v>0</v>
      </c>
      <c r="F554">
        <f t="shared" si="25"/>
        <v>0</v>
      </c>
      <c r="G554" t="str">
        <f t="shared" si="26"/>
        <v>2019-10</v>
      </c>
    </row>
    <row r="555" spans="1:7" x14ac:dyDescent="0.35">
      <c r="A555">
        <v>2019</v>
      </c>
      <c r="B555">
        <v>10</v>
      </c>
      <c r="C555" t="s">
        <v>2</v>
      </c>
      <c r="D555">
        <f>SUMIFS(
  fact_sales_monthly!$E:$E,
  fact_sales_monthly!$B:$B, A555,
  fact_sales_monthly!$C:$C, B555,
  fact_sales_monthly!$D:$D, C555
)</f>
        <v>37.299999999999997</v>
      </c>
      <c r="E555">
        <f t="shared" si="24"/>
        <v>37.299999999999997</v>
      </c>
      <c r="F555">
        <f t="shared" si="25"/>
        <v>9.3249999999999993</v>
      </c>
      <c r="G555" t="str">
        <f t="shared" si="26"/>
        <v>2019-10</v>
      </c>
    </row>
    <row r="556" spans="1:7" x14ac:dyDescent="0.35">
      <c r="A556">
        <v>2019</v>
      </c>
      <c r="B556">
        <v>10</v>
      </c>
      <c r="C556" t="s">
        <v>3</v>
      </c>
      <c r="D556">
        <f>SUMIFS(
  fact_sales_monthly!$E:$E,
  fact_sales_monthly!$B:$B, A556,
  fact_sales_monthly!$C:$C, B556,
  fact_sales_monthly!$D:$D, C556
)</f>
        <v>20.65</v>
      </c>
      <c r="E556">
        <f t="shared" si="24"/>
        <v>20.65</v>
      </c>
      <c r="F556">
        <f t="shared" si="25"/>
        <v>5.1624999999999996</v>
      </c>
      <c r="G556" t="str">
        <f t="shared" si="26"/>
        <v>2019-10</v>
      </c>
    </row>
    <row r="557" spans="1:7" x14ac:dyDescent="0.35">
      <c r="A557">
        <v>2019</v>
      </c>
      <c r="B557">
        <v>10</v>
      </c>
      <c r="C557" t="s">
        <v>4</v>
      </c>
      <c r="D557">
        <f>SUMIFS(
  fact_sales_monthly!$E:$E,
  fact_sales_monthly!$B:$B, A557,
  fact_sales_monthly!$C:$C, B557,
  fact_sales_monthly!$D:$D, C557
)</f>
        <v>0</v>
      </c>
      <c r="E557">
        <f t="shared" si="24"/>
        <v>0</v>
      </c>
      <c r="F557">
        <f t="shared" si="25"/>
        <v>0</v>
      </c>
      <c r="G557" t="str">
        <f t="shared" si="26"/>
        <v>2019-10</v>
      </c>
    </row>
    <row r="558" spans="1:7" x14ac:dyDescent="0.35">
      <c r="A558">
        <v>2019</v>
      </c>
      <c r="B558">
        <v>10</v>
      </c>
      <c r="C558" t="s">
        <v>5</v>
      </c>
      <c r="D558">
        <f>SUMIFS(
  fact_sales_monthly!$E:$E,
  fact_sales_monthly!$B:$B, A558,
  fact_sales_monthly!$C:$C, B558,
  fact_sales_monthly!$D:$D, C558
)</f>
        <v>86</v>
      </c>
      <c r="E558">
        <f t="shared" si="24"/>
        <v>86</v>
      </c>
      <c r="F558">
        <f t="shared" si="25"/>
        <v>21.5</v>
      </c>
      <c r="G558" t="str">
        <f t="shared" si="26"/>
        <v>2019-10</v>
      </c>
    </row>
    <row r="559" spans="1:7" x14ac:dyDescent="0.35">
      <c r="A559">
        <v>2019</v>
      </c>
      <c r="B559">
        <v>10</v>
      </c>
      <c r="C559" t="s">
        <v>6</v>
      </c>
      <c r="D559">
        <f>SUMIFS(
  fact_sales_monthly!$E:$E,
  fact_sales_monthly!$B:$B, A559,
  fact_sales_monthly!$C:$C, B559,
  fact_sales_monthly!$D:$D, C559
)</f>
        <v>7</v>
      </c>
      <c r="E559">
        <f t="shared" si="24"/>
        <v>7</v>
      </c>
      <c r="F559">
        <f t="shared" si="25"/>
        <v>1.75</v>
      </c>
      <c r="G559" t="str">
        <f t="shared" si="26"/>
        <v>2019-10</v>
      </c>
    </row>
    <row r="560" spans="1:7" x14ac:dyDescent="0.35">
      <c r="A560">
        <v>2019</v>
      </c>
      <c r="B560">
        <v>10</v>
      </c>
      <c r="C560" t="s">
        <v>7</v>
      </c>
      <c r="D560">
        <f>SUMIFS(
  fact_sales_monthly!$E:$E,
  fact_sales_monthly!$B:$B, A560,
  fact_sales_monthly!$C:$C, B560,
  fact_sales_monthly!$D:$D, C560
)</f>
        <v>37</v>
      </c>
      <c r="E560">
        <f t="shared" si="24"/>
        <v>37</v>
      </c>
      <c r="F560">
        <f t="shared" si="25"/>
        <v>9.25</v>
      </c>
      <c r="G560" t="str">
        <f t="shared" si="26"/>
        <v>2019-10</v>
      </c>
    </row>
    <row r="561" spans="1:7" x14ac:dyDescent="0.35">
      <c r="A561">
        <v>2019</v>
      </c>
      <c r="B561">
        <v>10</v>
      </c>
      <c r="C561" t="s">
        <v>8</v>
      </c>
      <c r="D561">
        <f>SUMIFS(
  fact_sales_monthly!$E:$E,
  fact_sales_monthly!$B:$B, A561,
  fact_sales_monthly!$C:$C, B561,
  fact_sales_monthly!$D:$D, C561
)</f>
        <v>0</v>
      </c>
      <c r="E561">
        <f t="shared" si="24"/>
        <v>0</v>
      </c>
      <c r="F561">
        <f t="shared" si="25"/>
        <v>0</v>
      </c>
      <c r="G561" t="str">
        <f t="shared" si="26"/>
        <v>2019-10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F3BC-3C6F-455F-AE15-68B267C94F43}">
  <dimension ref="A1:C71"/>
  <sheetViews>
    <sheetView zoomScaleNormal="100" workbookViewId="0"/>
  </sheetViews>
  <sheetFormatPr defaultRowHeight="14.5" x14ac:dyDescent="0.35"/>
  <cols>
    <col min="1" max="1" width="10.6328125" bestFit="1" customWidth="1"/>
    <col min="2" max="2" width="12.1796875" bestFit="1" customWidth="1"/>
    <col min="3" max="3" width="9.81640625" bestFit="1" customWidth="1"/>
  </cols>
  <sheetData>
    <row r="1" spans="1:3" x14ac:dyDescent="0.35">
      <c r="A1" t="s">
        <v>233</v>
      </c>
      <c r="B1" t="s">
        <v>234</v>
      </c>
      <c r="C1" t="s">
        <v>235</v>
      </c>
    </row>
    <row r="2" spans="1:3" x14ac:dyDescent="0.35">
      <c r="A2" t="s">
        <v>236</v>
      </c>
      <c r="B2">
        <f>SUMIFS(
  monthly_financials!$E:$E,
  monthly_financials!$G:$G, A2
)</f>
        <v>564.20000000000005</v>
      </c>
      <c r="C2">
        <f>SUMIFS(
  monthly_financials!$F:$F,
  monthly_financials!$G:$G, A2
)</f>
        <v>141.05000000000001</v>
      </c>
    </row>
    <row r="3" spans="1:3" x14ac:dyDescent="0.35">
      <c r="A3" t="s">
        <v>237</v>
      </c>
      <c r="B3">
        <f>SUMIFS(
  monthly_financials!$E:$E,
  monthly_financials!$G:$G, A3
)</f>
        <v>669.52</v>
      </c>
      <c r="C3">
        <f>SUMIFS(
  monthly_financials!$F:$F,
  monthly_financials!$G:$G, A3
)</f>
        <v>167.38</v>
      </c>
    </row>
    <row r="4" spans="1:3" x14ac:dyDescent="0.35">
      <c r="A4" t="s">
        <v>238</v>
      </c>
      <c r="B4">
        <f>SUMIFS(
  monthly_financials!$E:$E,
  monthly_financials!$G:$G, A4
)</f>
        <v>1376.33</v>
      </c>
      <c r="C4">
        <f>SUMIFS(
  monthly_financials!$F:$F,
  monthly_financials!$G:$G, A4
)</f>
        <v>344.08249999999998</v>
      </c>
    </row>
    <row r="5" spans="1:3" x14ac:dyDescent="0.35">
      <c r="A5" t="s">
        <v>239</v>
      </c>
      <c r="B5">
        <f>SUMIFS(
  monthly_financials!$E:$E,
  monthly_financials!$G:$G, A5
)</f>
        <v>1096.2</v>
      </c>
      <c r="C5">
        <f>SUMIFS(
  monthly_financials!$F:$F,
  monthly_financials!$G:$G, A5
)</f>
        <v>274.05</v>
      </c>
    </row>
    <row r="6" spans="1:3" x14ac:dyDescent="0.35">
      <c r="A6" t="s">
        <v>240</v>
      </c>
      <c r="B6">
        <f>SUMIFS(
  monthly_financials!$E:$E,
  monthly_financials!$G:$G, A6
)</f>
        <v>532.1</v>
      </c>
      <c r="C6">
        <f>SUMIFS(
  monthly_financials!$F:$F,
  monthly_financials!$G:$G, A6
)</f>
        <v>133.02500000000001</v>
      </c>
    </row>
    <row r="7" spans="1:3" x14ac:dyDescent="0.35">
      <c r="A7" t="s">
        <v>241</v>
      </c>
      <c r="B7">
        <f>SUMIFS(
  monthly_financials!$E:$E,
  monthly_financials!$G:$G, A7
)</f>
        <v>1183.425</v>
      </c>
      <c r="C7">
        <f>SUMIFS(
  monthly_financials!$F:$F,
  monthly_financials!$G:$G, A7
)</f>
        <v>295.85624999999999</v>
      </c>
    </row>
    <row r="8" spans="1:3" x14ac:dyDescent="0.35">
      <c r="A8" t="s">
        <v>242</v>
      </c>
      <c r="B8">
        <f>SUMIFS(
  monthly_financials!$E:$E,
  monthly_financials!$G:$G, A8
)</f>
        <v>1120.3</v>
      </c>
      <c r="C8">
        <f>SUMIFS(
  monthly_financials!$F:$F,
  monthly_financials!$G:$G, A8
)</f>
        <v>280.07499999999999</v>
      </c>
    </row>
    <row r="9" spans="1:3" x14ac:dyDescent="0.35">
      <c r="A9" t="s">
        <v>243</v>
      </c>
      <c r="B9">
        <f>SUMIFS(
  monthly_financials!$E:$E,
  monthly_financials!$G:$G, A9
)</f>
        <v>709.58000000000015</v>
      </c>
      <c r="C9">
        <f>SUMIFS(
  monthly_financials!$F:$F,
  monthly_financials!$G:$G, A9
)</f>
        <v>177.39500000000004</v>
      </c>
    </row>
    <row r="10" spans="1:3" x14ac:dyDescent="0.35">
      <c r="A10" t="s">
        <v>244</v>
      </c>
      <c r="B10">
        <f>SUMIFS(
  monthly_financials!$E:$E,
  monthly_financials!$G:$G, A10
)</f>
        <v>586.79999999999995</v>
      </c>
      <c r="C10">
        <f>SUMIFS(
  monthly_financials!$F:$F,
  monthly_financials!$G:$G, A10
)</f>
        <v>146.69999999999999</v>
      </c>
    </row>
    <row r="11" spans="1:3" x14ac:dyDescent="0.35">
      <c r="A11" t="s">
        <v>245</v>
      </c>
      <c r="B11">
        <f>SUMIFS(
  monthly_financials!$E:$E,
  monthly_financials!$G:$G, A11
)</f>
        <v>758.5</v>
      </c>
      <c r="C11">
        <f>SUMIFS(
  monthly_financials!$F:$F,
  monthly_financials!$G:$G, A11
)</f>
        <v>189.625</v>
      </c>
    </row>
    <row r="12" spans="1:3" x14ac:dyDescent="0.35">
      <c r="A12" t="s">
        <v>246</v>
      </c>
      <c r="B12">
        <f>SUMIFS(
  monthly_financials!$E:$E,
  monthly_financials!$G:$G, A12
)</f>
        <v>1531.7</v>
      </c>
      <c r="C12">
        <f>SUMIFS(
  monthly_financials!$F:$F,
  monthly_financials!$G:$G, A12
)</f>
        <v>382.92500000000001</v>
      </c>
    </row>
    <row r="13" spans="1:3" x14ac:dyDescent="0.35">
      <c r="A13" t="s">
        <v>247</v>
      </c>
      <c r="B13">
        <f>SUMIFS(
  monthly_financials!$E:$E,
  monthly_financials!$G:$G, A13
)</f>
        <v>713.4</v>
      </c>
      <c r="C13">
        <f>SUMIFS(
  monthly_financials!$F:$F,
  monthly_financials!$G:$G, A13
)</f>
        <v>178.35</v>
      </c>
    </row>
    <row r="14" spans="1:3" x14ac:dyDescent="0.35">
      <c r="A14" t="s">
        <v>248</v>
      </c>
      <c r="B14">
        <f>SUMIFS(
  monthly_financials!$E:$E,
  monthly_financials!$G:$G, A14
)</f>
        <v>847.25</v>
      </c>
      <c r="C14">
        <f>SUMIFS(
  monthly_financials!$F:$F,
  monthly_financials!$G:$G, A14
)</f>
        <v>211.8125</v>
      </c>
    </row>
    <row r="15" spans="1:3" x14ac:dyDescent="0.35">
      <c r="A15" t="s">
        <v>249</v>
      </c>
      <c r="B15">
        <f>SUMIFS(
  monthly_financials!$E:$E,
  monthly_financials!$G:$G, A15
)</f>
        <v>1707.7919999999999</v>
      </c>
      <c r="C15">
        <f>SUMIFS(
  monthly_financials!$F:$F,
  monthly_financials!$G:$G, A15
)</f>
        <v>426.94799999999998</v>
      </c>
    </row>
    <row r="16" spans="1:3" x14ac:dyDescent="0.35">
      <c r="A16" t="s">
        <v>250</v>
      </c>
      <c r="B16">
        <f>SUMIFS(
  monthly_financials!$E:$E,
  monthly_financials!$G:$G, A16
)</f>
        <v>603.79999999999995</v>
      </c>
      <c r="C16">
        <f>SUMIFS(
  monthly_financials!$F:$F,
  monthly_financials!$G:$G, A16
)</f>
        <v>150.94999999999999</v>
      </c>
    </row>
    <row r="17" spans="1:3" x14ac:dyDescent="0.35">
      <c r="A17" t="s">
        <v>251</v>
      </c>
      <c r="B17">
        <f>SUMIFS(
  monthly_financials!$E:$E,
  monthly_financials!$G:$G, A17
)</f>
        <v>661.61500000000001</v>
      </c>
      <c r="C17">
        <f>SUMIFS(
  monthly_financials!$F:$F,
  monthly_financials!$G:$G, A17
)</f>
        <v>165.40375</v>
      </c>
    </row>
    <row r="18" spans="1:3" x14ac:dyDescent="0.35">
      <c r="A18" t="s">
        <v>252</v>
      </c>
      <c r="B18">
        <f>SUMIFS(
  monthly_financials!$E:$E,
  monthly_financials!$G:$G, A18
)</f>
        <v>759.56</v>
      </c>
      <c r="C18">
        <f>SUMIFS(
  monthly_financials!$F:$F,
  monthly_financials!$G:$G, A18
)</f>
        <v>189.89</v>
      </c>
    </row>
    <row r="19" spans="1:3" x14ac:dyDescent="0.35">
      <c r="A19" t="s">
        <v>253</v>
      </c>
      <c r="B19">
        <f>SUMIFS(
  monthly_financials!$E:$E,
  monthly_financials!$G:$G, A19
)</f>
        <v>1427.9380000000001</v>
      </c>
      <c r="C19">
        <f>SUMIFS(
  monthly_financials!$F:$F,
  monthly_financials!$G:$G, A19
)</f>
        <v>356.98450000000003</v>
      </c>
    </row>
    <row r="20" spans="1:3" x14ac:dyDescent="0.35">
      <c r="A20" t="s">
        <v>254</v>
      </c>
      <c r="B20">
        <f>SUMIFS(
  monthly_financials!$E:$E,
  monthly_financials!$G:$G, A20
)</f>
        <v>524.79999999999995</v>
      </c>
      <c r="C20">
        <f>SUMIFS(
  monthly_financials!$F:$F,
  monthly_financials!$G:$G, A20
)</f>
        <v>131.19999999999999</v>
      </c>
    </row>
    <row r="21" spans="1:3" x14ac:dyDescent="0.35">
      <c r="A21" t="s">
        <v>255</v>
      </c>
      <c r="B21">
        <f>SUMIFS(
  monthly_financials!$E:$E,
  monthly_financials!$G:$G, A21
)</f>
        <v>1333.3880000000001</v>
      </c>
      <c r="C21">
        <f>SUMIFS(
  monthly_financials!$F:$F,
  monthly_financials!$G:$G, A21
)</f>
        <v>333.34700000000004</v>
      </c>
    </row>
    <row r="22" spans="1:3" x14ac:dyDescent="0.35">
      <c r="A22" t="s">
        <v>256</v>
      </c>
      <c r="B22">
        <f>SUMIFS(
  monthly_financials!$E:$E,
  monthly_financials!$G:$G, A22
)</f>
        <v>1379.0250000000001</v>
      </c>
      <c r="C22">
        <f>SUMIFS(
  monthly_financials!$F:$F,
  monthly_financials!$G:$G, A22
)</f>
        <v>344.75625000000002</v>
      </c>
    </row>
    <row r="23" spans="1:3" x14ac:dyDescent="0.35">
      <c r="A23" t="s">
        <v>257</v>
      </c>
      <c r="B23">
        <f>SUMIFS(
  monthly_financials!$E:$E,
  monthly_financials!$G:$G, A23
)</f>
        <v>486</v>
      </c>
      <c r="C23">
        <f>SUMIFS(
  monthly_financials!$F:$F,
  monthly_financials!$G:$G, A23
)</f>
        <v>121.5</v>
      </c>
    </row>
    <row r="24" spans="1:3" x14ac:dyDescent="0.35">
      <c r="A24" t="s">
        <v>258</v>
      </c>
      <c r="B24">
        <f>SUMIFS(
  monthly_financials!$E:$E,
  monthly_financials!$G:$G, A24
)</f>
        <v>1890.9579999999999</v>
      </c>
      <c r="C24">
        <f>SUMIFS(
  monthly_financials!$F:$F,
  monthly_financials!$G:$G, A24
)</f>
        <v>472.73949999999996</v>
      </c>
    </row>
    <row r="25" spans="1:3" x14ac:dyDescent="0.35">
      <c r="A25" t="s">
        <v>259</v>
      </c>
      <c r="B25">
        <f>SUMIFS(
  monthly_financials!$E:$E,
  monthly_financials!$G:$G, A25
)</f>
        <v>586.73</v>
      </c>
      <c r="C25">
        <f>SUMIFS(
  monthly_financials!$F:$F,
  monthly_financials!$G:$G, A25
)</f>
        <v>146.6825</v>
      </c>
    </row>
    <row r="26" spans="1:3" x14ac:dyDescent="0.35">
      <c r="A26" t="s">
        <v>260</v>
      </c>
      <c r="B26">
        <f>SUMIFS(
  monthly_financials!$E:$E,
  monthly_financials!$G:$G, A26
)</f>
        <v>630.90200000000004</v>
      </c>
      <c r="C26">
        <f>SUMIFS(
  monthly_financials!$F:$F,
  monthly_financials!$G:$G, A26
)</f>
        <v>157.72550000000001</v>
      </c>
    </row>
    <row r="27" spans="1:3" x14ac:dyDescent="0.35">
      <c r="A27" t="s">
        <v>261</v>
      </c>
      <c r="B27">
        <f>SUMIFS(
  monthly_financials!$E:$E,
  monthly_financials!$G:$G, A27
)</f>
        <v>699.52800000000002</v>
      </c>
      <c r="C27">
        <f>SUMIFS(
  monthly_financials!$F:$F,
  monthly_financials!$G:$G, A27
)</f>
        <v>174.88200000000001</v>
      </c>
    </row>
    <row r="28" spans="1:3" x14ac:dyDescent="0.35">
      <c r="A28" t="s">
        <v>262</v>
      </c>
      <c r="B28">
        <f>SUMIFS(
  monthly_financials!$E:$E,
  monthly_financials!$G:$G, A28
)</f>
        <v>762.24</v>
      </c>
      <c r="C28">
        <f>SUMIFS(
  monthly_financials!$F:$F,
  monthly_financials!$G:$G, A28
)</f>
        <v>190.56</v>
      </c>
    </row>
    <row r="29" spans="1:3" x14ac:dyDescent="0.35">
      <c r="A29" t="s">
        <v>263</v>
      </c>
      <c r="B29">
        <f>SUMIFS(
  monthly_financials!$E:$E,
  monthly_financials!$G:$G, A29
)</f>
        <v>699.7</v>
      </c>
      <c r="C29">
        <f>SUMIFS(
  monthly_financials!$F:$F,
  monthly_financials!$G:$G, A29
)</f>
        <v>174.92500000000001</v>
      </c>
    </row>
    <row r="30" spans="1:3" x14ac:dyDescent="0.35">
      <c r="A30" t="s">
        <v>264</v>
      </c>
      <c r="B30">
        <f>SUMIFS(
  monthly_financials!$E:$E,
  monthly_financials!$G:$G, A30
)</f>
        <v>424</v>
      </c>
      <c r="C30">
        <f>SUMIFS(
  monthly_financials!$F:$F,
  monthly_financials!$G:$G, A30
)</f>
        <v>106</v>
      </c>
    </row>
    <row r="31" spans="1:3" x14ac:dyDescent="0.35">
      <c r="A31" t="s">
        <v>265</v>
      </c>
      <c r="B31">
        <f>SUMIFS(
  monthly_financials!$E:$E,
  monthly_financials!$G:$G, A31
)</f>
        <v>1585.5609999999999</v>
      </c>
      <c r="C31">
        <f>SUMIFS(
  monthly_financials!$F:$F,
  monthly_financials!$G:$G, A31
)</f>
        <v>396.39024999999998</v>
      </c>
    </row>
    <row r="32" spans="1:3" x14ac:dyDescent="0.35">
      <c r="A32" t="s">
        <v>266</v>
      </c>
      <c r="B32">
        <f>SUMIFS(
  monthly_financials!$E:$E,
  monthly_financials!$G:$G, A32
)</f>
        <v>473.83</v>
      </c>
      <c r="C32">
        <f>SUMIFS(
  monthly_financials!$F:$F,
  monthly_financials!$G:$G, A32
)</f>
        <v>118.4575</v>
      </c>
    </row>
    <row r="33" spans="1:3" x14ac:dyDescent="0.35">
      <c r="A33" t="s">
        <v>267</v>
      </c>
      <c r="B33">
        <f>SUMIFS(
  monthly_financials!$E:$E,
  monthly_financials!$G:$G, A33
)</f>
        <v>621.5</v>
      </c>
      <c r="C33">
        <f>SUMIFS(
  monthly_financials!$F:$F,
  monthly_financials!$G:$G, A33
)</f>
        <v>155.375</v>
      </c>
    </row>
    <row r="34" spans="1:3" x14ac:dyDescent="0.35">
      <c r="A34" t="s">
        <v>268</v>
      </c>
      <c r="B34">
        <f>SUMIFS(
  monthly_financials!$E:$E,
  monthly_financials!$G:$G, A34
)</f>
        <v>1750.6990000000001</v>
      </c>
      <c r="C34">
        <f>SUMIFS(
  monthly_financials!$F:$F,
  monthly_financials!$G:$G, A34
)</f>
        <v>437.67475000000002</v>
      </c>
    </row>
    <row r="35" spans="1:3" x14ac:dyDescent="0.35">
      <c r="A35" t="s">
        <v>269</v>
      </c>
      <c r="B35">
        <f>SUMIFS(
  monthly_financials!$E:$E,
  monthly_financials!$G:$G, A35
)</f>
        <v>764.05</v>
      </c>
      <c r="C35">
        <f>SUMIFS(
  monthly_financials!$F:$F,
  monthly_financials!$G:$G, A35
)</f>
        <v>191.01249999999999</v>
      </c>
    </row>
    <row r="36" spans="1:3" x14ac:dyDescent="0.35">
      <c r="A36" t="s">
        <v>270</v>
      </c>
      <c r="B36">
        <f>SUMIFS(
  monthly_financials!$E:$E,
  monthly_financials!$G:$G, A36
)</f>
        <v>423</v>
      </c>
      <c r="C36">
        <f>SUMIFS(
  monthly_financials!$F:$F,
  monthly_financials!$G:$G, A36
)</f>
        <v>105.75</v>
      </c>
    </row>
    <row r="37" spans="1:3" x14ac:dyDescent="0.35">
      <c r="A37" t="s">
        <v>271</v>
      </c>
      <c r="B37">
        <f>SUMIFS(
  monthly_financials!$E:$E,
  monthly_financials!$G:$G, A37
)</f>
        <v>584.9</v>
      </c>
      <c r="C37">
        <f>SUMIFS(
  monthly_financials!$F:$F,
  monthly_financials!$G:$G, A37
)</f>
        <v>146.22499999999999</v>
      </c>
    </row>
    <row r="38" spans="1:3" x14ac:dyDescent="0.35">
      <c r="A38" t="s">
        <v>272</v>
      </c>
      <c r="B38">
        <f>SUMIFS(
  monthly_financials!$E:$E,
  monthly_financials!$G:$G, A38
)</f>
        <v>1</v>
      </c>
      <c r="C38">
        <f>SUMIFS(
  monthly_financials!$F:$F,
  monthly_financials!$G:$G, A38
)</f>
        <v>0.25</v>
      </c>
    </row>
    <row r="39" spans="1:3" x14ac:dyDescent="0.35">
      <c r="A39" t="s">
        <v>273</v>
      </c>
      <c r="B39">
        <f>SUMIFS(
  monthly_financials!$E:$E,
  monthly_financials!$G:$G, A39
)</f>
        <v>395.6</v>
      </c>
      <c r="C39">
        <f>SUMIFS(
  monthly_financials!$F:$F,
  monthly_financials!$G:$G, A39
)</f>
        <v>98.9</v>
      </c>
    </row>
    <row r="40" spans="1:3" x14ac:dyDescent="0.35">
      <c r="A40" t="s">
        <v>274</v>
      </c>
      <c r="B40">
        <f>SUMIFS(
  monthly_financials!$E:$E,
  monthly_financials!$G:$G, A40
)</f>
        <v>524.15499999999997</v>
      </c>
      <c r="C40">
        <f>SUMIFS(
  monthly_financials!$F:$F,
  monthly_financials!$G:$G, A40
)</f>
        <v>131.03874999999999</v>
      </c>
    </row>
    <row r="41" spans="1:3" x14ac:dyDescent="0.35">
      <c r="A41" t="s">
        <v>275</v>
      </c>
      <c r="B41">
        <f>SUMIFS(
  monthly_financials!$E:$E,
  monthly_financials!$G:$G, A41
)</f>
        <v>450.5</v>
      </c>
      <c r="C41">
        <f>SUMIFS(
  monthly_financials!$F:$F,
  monthly_financials!$G:$G, A41
)</f>
        <v>112.625</v>
      </c>
    </row>
    <row r="42" spans="1:3" x14ac:dyDescent="0.35">
      <c r="A42" t="s">
        <v>276</v>
      </c>
      <c r="B42">
        <f>SUMIFS(
  monthly_financials!$E:$E,
  monthly_financials!$G:$G, A42
)</f>
        <v>703.42000000000007</v>
      </c>
      <c r="C42">
        <f>SUMIFS(
  monthly_financials!$F:$F,
  monthly_financials!$G:$G, A42
)</f>
        <v>175.85500000000002</v>
      </c>
    </row>
    <row r="43" spans="1:3" x14ac:dyDescent="0.35">
      <c r="A43" t="s">
        <v>277</v>
      </c>
      <c r="B43">
        <f>SUMIFS(
  monthly_financials!$E:$E,
  monthly_financials!$G:$G, A43
)</f>
        <v>1072.03</v>
      </c>
      <c r="C43">
        <f>SUMIFS(
  monthly_financials!$F:$F,
  monthly_financials!$G:$G, A43
)</f>
        <v>268.00749999999999</v>
      </c>
    </row>
    <row r="44" spans="1:3" x14ac:dyDescent="0.35">
      <c r="A44" t="s">
        <v>278</v>
      </c>
      <c r="B44">
        <f>SUMIFS(
  monthly_financials!$E:$E,
  monthly_financials!$G:$G, A44
)</f>
        <v>589.77</v>
      </c>
      <c r="C44">
        <f>SUMIFS(
  monthly_financials!$F:$F,
  monthly_financials!$G:$G, A44
)</f>
        <v>147.4425</v>
      </c>
    </row>
    <row r="45" spans="1:3" x14ac:dyDescent="0.35">
      <c r="A45" t="s">
        <v>279</v>
      </c>
      <c r="B45">
        <f>SUMIFS(
  monthly_financials!$E:$E,
  monthly_financials!$G:$G, A45
)</f>
        <v>1132.27</v>
      </c>
      <c r="C45">
        <f>SUMIFS(
  monthly_financials!$F:$F,
  monthly_financials!$G:$G, A45
)</f>
        <v>283.0675</v>
      </c>
    </row>
    <row r="46" spans="1:3" x14ac:dyDescent="0.35">
      <c r="A46" t="s">
        <v>280</v>
      </c>
      <c r="B46">
        <f>SUMIFS(
  monthly_financials!$E:$E,
  monthly_financials!$G:$G, A46
)</f>
        <v>590.23</v>
      </c>
      <c r="C46">
        <f>SUMIFS(
  monthly_financials!$F:$F,
  monthly_financials!$G:$G, A46
)</f>
        <v>147.5575</v>
      </c>
    </row>
    <row r="47" spans="1:3" x14ac:dyDescent="0.35">
      <c r="A47" t="s">
        <v>281</v>
      </c>
      <c r="B47">
        <f>SUMIFS(
  monthly_financials!$E:$E,
  monthly_financials!$G:$G, A47
)</f>
        <v>627.73699999999997</v>
      </c>
      <c r="C47">
        <f>SUMIFS(
  monthly_financials!$F:$F,
  monthly_financials!$G:$G, A47
)</f>
        <v>156.93424999999999</v>
      </c>
    </row>
    <row r="48" spans="1:3" x14ac:dyDescent="0.35">
      <c r="A48" t="s">
        <v>282</v>
      </c>
      <c r="B48">
        <f>SUMIFS(
  monthly_financials!$E:$E,
  monthly_financials!$G:$G, A48
)</f>
        <v>507.45</v>
      </c>
      <c r="C48">
        <f>SUMIFS(
  monthly_financials!$F:$F,
  monthly_financials!$G:$G, A48
)</f>
        <v>126.8625</v>
      </c>
    </row>
    <row r="49" spans="1:3" x14ac:dyDescent="0.35">
      <c r="A49" t="s">
        <v>283</v>
      </c>
      <c r="B49">
        <f>SUMIFS(
  monthly_financials!$E:$E,
  monthly_financials!$G:$G, A49
)</f>
        <v>483.1</v>
      </c>
      <c r="C49">
        <f>SUMIFS(
  monthly_financials!$F:$F,
  monthly_financials!$G:$G, A49
)</f>
        <v>120.77500000000001</v>
      </c>
    </row>
    <row r="50" spans="1:3" x14ac:dyDescent="0.35">
      <c r="A50" t="s">
        <v>284</v>
      </c>
      <c r="B50">
        <f>SUMIFS(
  monthly_financials!$E:$E,
  monthly_financials!$G:$G, A50
)</f>
        <v>1775.105</v>
      </c>
      <c r="C50">
        <f>SUMIFS(
  monthly_financials!$F:$F,
  monthly_financials!$G:$G, A50
)</f>
        <v>443.77625</v>
      </c>
    </row>
    <row r="51" spans="1:3" x14ac:dyDescent="0.35">
      <c r="A51" t="s">
        <v>285</v>
      </c>
      <c r="B51">
        <f>SUMIFS(
  monthly_financials!$E:$E,
  monthly_financials!$G:$G, A51
)</f>
        <v>700.42000000000007</v>
      </c>
      <c r="C51">
        <f>SUMIFS(
  monthly_financials!$F:$F,
  monthly_financials!$G:$G, A51
)</f>
        <v>175.10500000000002</v>
      </c>
    </row>
    <row r="52" spans="1:3" x14ac:dyDescent="0.35">
      <c r="A52" t="s">
        <v>286</v>
      </c>
      <c r="B52">
        <f>SUMIFS(
  monthly_financials!$E:$E,
  monthly_financials!$G:$G, A52
)</f>
        <v>923.66</v>
      </c>
      <c r="C52">
        <f>SUMIFS(
  monthly_financials!$F:$F,
  monthly_financials!$G:$G, A52
)</f>
        <v>230.91499999999999</v>
      </c>
    </row>
    <row r="53" spans="1:3" x14ac:dyDescent="0.35">
      <c r="A53" t="s">
        <v>287</v>
      </c>
      <c r="B53">
        <f>SUMIFS(
  monthly_financials!$E:$E,
  monthly_financials!$G:$G, A53
)</f>
        <v>736.1</v>
      </c>
      <c r="C53">
        <f>SUMIFS(
  monthly_financials!$F:$F,
  monthly_financials!$G:$G, A53
)</f>
        <v>184.02500000000001</v>
      </c>
    </row>
    <row r="54" spans="1:3" x14ac:dyDescent="0.35">
      <c r="A54" t="s">
        <v>288</v>
      </c>
      <c r="B54">
        <f>SUMIFS(
  monthly_financials!$E:$E,
  monthly_financials!$G:$G, A54
)</f>
        <v>464</v>
      </c>
      <c r="C54">
        <f>SUMIFS(
  monthly_financials!$F:$F,
  monthly_financials!$G:$G, A54
)</f>
        <v>116</v>
      </c>
    </row>
    <row r="55" spans="1:3" x14ac:dyDescent="0.35">
      <c r="A55" t="s">
        <v>289</v>
      </c>
      <c r="B55">
        <f>SUMIFS(
  monthly_financials!$E:$E,
  monthly_financials!$G:$G, A55
)</f>
        <v>1213.3229999999999</v>
      </c>
      <c r="C55">
        <f>SUMIFS(
  monthly_financials!$F:$F,
  monthly_financials!$G:$G, A55
)</f>
        <v>303.33074999999997</v>
      </c>
    </row>
    <row r="56" spans="1:3" x14ac:dyDescent="0.35">
      <c r="A56" t="s">
        <v>290</v>
      </c>
      <c r="B56">
        <f>SUMIFS(
  monthly_financials!$E:$E,
  monthly_financials!$G:$G, A56
)</f>
        <v>751.58</v>
      </c>
      <c r="C56">
        <f>SUMIFS(
  monthly_financials!$F:$F,
  monthly_financials!$G:$G, A56
)</f>
        <v>187.89500000000001</v>
      </c>
    </row>
    <row r="57" spans="1:3" x14ac:dyDescent="0.35">
      <c r="A57" t="s">
        <v>291</v>
      </c>
      <c r="B57">
        <f>SUMIFS(
  monthly_financials!$E:$E,
  monthly_financials!$G:$G, A57
)</f>
        <v>1357.1879999999999</v>
      </c>
      <c r="C57">
        <f>SUMIFS(
  monthly_financials!$F:$F,
  monthly_financials!$G:$G, A57
)</f>
        <v>339.29699999999997</v>
      </c>
    </row>
    <row r="58" spans="1:3" x14ac:dyDescent="0.35">
      <c r="A58" t="s">
        <v>292</v>
      </c>
      <c r="B58">
        <f>SUMIFS(
  monthly_financials!$E:$E,
  monthly_financials!$G:$G, A58
)</f>
        <v>720.02</v>
      </c>
      <c r="C58">
        <f>SUMIFS(
  monthly_financials!$F:$F,
  monthly_financials!$G:$G, A58
)</f>
        <v>180.005</v>
      </c>
    </row>
    <row r="59" spans="1:3" x14ac:dyDescent="0.35">
      <c r="A59" t="s">
        <v>293</v>
      </c>
      <c r="B59">
        <f>SUMIFS(
  monthly_financials!$E:$E,
  monthly_financials!$G:$G, A59
)</f>
        <v>741.9</v>
      </c>
      <c r="C59">
        <f>SUMIFS(
  monthly_financials!$F:$F,
  monthly_financials!$G:$G, A59
)</f>
        <v>185.47499999999999</v>
      </c>
    </row>
    <row r="60" spans="1:3" x14ac:dyDescent="0.35">
      <c r="A60" t="s">
        <v>294</v>
      </c>
      <c r="B60">
        <f>SUMIFS(
  monthly_financials!$E:$E,
  monthly_financials!$G:$G, A60
)</f>
        <v>1580.35</v>
      </c>
      <c r="C60">
        <f>SUMIFS(
  monthly_financials!$F:$F,
  monthly_financials!$G:$G, A60
)</f>
        <v>395.08749999999998</v>
      </c>
    </row>
    <row r="61" spans="1:3" x14ac:dyDescent="0.35">
      <c r="A61" t="s">
        <v>295</v>
      </c>
      <c r="B61">
        <f>SUMIFS(
  monthly_financials!$E:$E,
  monthly_financials!$G:$G, A61
)</f>
        <v>1963.7</v>
      </c>
      <c r="C61">
        <f>SUMIFS(
  monthly_financials!$F:$F,
  monthly_financials!$G:$G, A61
)</f>
        <v>490.92500000000001</v>
      </c>
    </row>
    <row r="62" spans="1:3" x14ac:dyDescent="0.35">
      <c r="A62" t="s">
        <v>296</v>
      </c>
      <c r="B62">
        <f>SUMIFS(
  monthly_financials!$E:$E,
  monthly_financials!$G:$G, A62
)</f>
        <v>745.5</v>
      </c>
      <c r="C62">
        <f>SUMIFS(
  monthly_financials!$F:$F,
  monthly_financials!$G:$G, A62
)</f>
        <v>186.375</v>
      </c>
    </row>
    <row r="63" spans="1:3" x14ac:dyDescent="0.35">
      <c r="A63" t="s">
        <v>297</v>
      </c>
      <c r="B63">
        <f>SUMIFS(
  monthly_financials!$E:$E,
  monthly_financials!$G:$G, A63
)</f>
        <v>307.5</v>
      </c>
      <c r="C63">
        <f>SUMIFS(
  monthly_financials!$F:$F,
  monthly_financials!$G:$G, A63
)</f>
        <v>76.875</v>
      </c>
    </row>
    <row r="64" spans="1:3" x14ac:dyDescent="0.35">
      <c r="A64" t="s">
        <v>298</v>
      </c>
      <c r="B64">
        <f>SUMIFS(
  monthly_financials!$E:$E,
  monthly_financials!$G:$G, A64
)</f>
        <v>1518.4499999999998</v>
      </c>
      <c r="C64">
        <f>SUMIFS(
  monthly_financials!$F:$F,
  monthly_financials!$G:$G, A64
)</f>
        <v>379.61249999999995</v>
      </c>
    </row>
    <row r="65" spans="1:3" x14ac:dyDescent="0.35">
      <c r="A65" t="s">
        <v>299</v>
      </c>
      <c r="B65">
        <f>SUMIFS(
  monthly_financials!$E:$E,
  monthly_financials!$G:$G, A65
)</f>
        <v>668.5</v>
      </c>
      <c r="C65">
        <f>SUMIFS(
  monthly_financials!$F:$F,
  monthly_financials!$G:$G, A65
)</f>
        <v>167.125</v>
      </c>
    </row>
    <row r="66" spans="1:3" x14ac:dyDescent="0.35">
      <c r="A66" t="s">
        <v>300</v>
      </c>
      <c r="B66">
        <f>SUMIFS(
  monthly_financials!$E:$E,
  monthly_financials!$G:$G, A66
)</f>
        <v>587.5</v>
      </c>
      <c r="C66">
        <f>SUMIFS(
  monthly_financials!$F:$F,
  monthly_financials!$G:$G, A66
)</f>
        <v>146.875</v>
      </c>
    </row>
    <row r="67" spans="1:3" x14ac:dyDescent="0.35">
      <c r="A67" t="s">
        <v>301</v>
      </c>
      <c r="B67">
        <f>SUMIFS(
  monthly_financials!$E:$E,
  monthly_financials!$G:$G, A67
)</f>
        <v>619.24</v>
      </c>
      <c r="C67">
        <f>SUMIFS(
  monthly_financials!$F:$F,
  monthly_financials!$G:$G, A67
)</f>
        <v>154.81</v>
      </c>
    </row>
    <row r="68" spans="1:3" x14ac:dyDescent="0.35">
      <c r="A68" t="s">
        <v>302</v>
      </c>
      <c r="B68">
        <f>SUMIFS(
  monthly_financials!$E:$E,
  monthly_financials!$G:$G, A68
)</f>
        <v>1163.8</v>
      </c>
      <c r="C68">
        <f>SUMIFS(
  monthly_financials!$F:$F,
  monthly_financials!$G:$G, A68
)</f>
        <v>290.95</v>
      </c>
    </row>
    <row r="69" spans="1:3" x14ac:dyDescent="0.35">
      <c r="A69" t="s">
        <v>303</v>
      </c>
      <c r="B69">
        <f>SUMIFS(
  monthly_financials!$E:$E,
  monthly_financials!$G:$G, A69
)</f>
        <v>505.3</v>
      </c>
      <c r="C69">
        <f>SUMIFS(
  monthly_financials!$F:$F,
  monthly_financials!$G:$G, A69
)</f>
        <v>126.325</v>
      </c>
    </row>
    <row r="70" spans="1:3" x14ac:dyDescent="0.35">
      <c r="A70" t="s">
        <v>304</v>
      </c>
      <c r="B70">
        <f>SUMIFS(
  monthly_financials!$E:$E,
  monthly_financials!$G:$G, A70
)</f>
        <v>286.10000000000002</v>
      </c>
      <c r="C70">
        <f>SUMIFS(
  monthly_financials!$F:$F,
  monthly_financials!$G:$G, A70
)</f>
        <v>71.525000000000006</v>
      </c>
    </row>
    <row r="71" spans="1:3" x14ac:dyDescent="0.35">
      <c r="A71" t="s">
        <v>305</v>
      </c>
      <c r="B71">
        <f>SUMIFS(
  monthly_financials!$E:$E,
  monthly_financials!$G:$G, A71
)</f>
        <v>187.95</v>
      </c>
      <c r="C71">
        <f>SUMIFS(
  monthly_financials!$F:$F,
  monthly_financials!$G:$G, A71
)</f>
        <v>46.987499999999997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salesmonthly</vt:lpstr>
      <vt:lpstr>fact_sales_monthly</vt:lpstr>
      <vt:lpstr>monthly_financials</vt:lpstr>
      <vt:lpstr>monthly_profit_summary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Gajanan Magdum</dc:creator>
  <cp:lastModifiedBy>Shubha Tiwari</cp:lastModifiedBy>
  <dcterms:created xsi:type="dcterms:W3CDTF">2026-01-11T09:58:37Z</dcterms:created>
  <dcterms:modified xsi:type="dcterms:W3CDTF">2026-01-11T10:22:15Z</dcterms:modified>
</cp:coreProperties>
</file>